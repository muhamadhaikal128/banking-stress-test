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PROSPERA\Finance\BT.2.2_Finance Policy Team\00. Activities\11. Team Activities\g. Data Master File\"/>
    </mc:Choice>
  </mc:AlternateContent>
  <xr:revisionPtr revIDLastSave="0" documentId="13_ncr:1_{730491FC-1CE6-492F-A50E-63A683B2DED7}" xr6:coauthVersionLast="47" xr6:coauthVersionMax="47" xr10:uidLastSave="{00000000-0000-0000-0000-000000000000}"/>
  <bookViews>
    <workbookView xWindow="-83" yWindow="0" windowWidth="9766" windowHeight="11363" activeTab="4" xr2:uid="{AA12F96A-A454-49CB-AB21-F313576B7C0C}"/>
  </bookViews>
  <sheets>
    <sheet name="Haircut" sheetId="7" r:id="rId1"/>
    <sheet name="Macro" sheetId="2" r:id="rId2"/>
    <sheet name="Scenario 1" sheetId="4" r:id="rId3"/>
    <sheet name="Scenario 2" sheetId="5" r:id="rId4"/>
    <sheet name="Scenario 3" sheetId="6" r:id="rId5"/>
    <sheet name="Presentatio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3" i="5"/>
  <c r="C4" i="5"/>
  <c r="C11" i="8" s="1"/>
  <c r="C3" i="5"/>
  <c r="C10" i="8" s="1"/>
  <c r="B6" i="6"/>
  <c r="B7" i="6" s="1"/>
  <c r="H6" i="4"/>
  <c r="H7" i="4"/>
  <c r="G7" i="4" s="1"/>
  <c r="G6" i="4"/>
  <c r="C23" i="8"/>
  <c r="C18" i="8"/>
  <c r="C19" i="8"/>
  <c r="C20" i="8"/>
  <c r="B18" i="8"/>
  <c r="B19" i="8"/>
  <c r="B20" i="8"/>
  <c r="D23" i="8"/>
  <c r="B24" i="8"/>
  <c r="B25" i="8"/>
  <c r="B26" i="8"/>
  <c r="B23" i="8"/>
  <c r="F2" i="6"/>
  <c r="D17" i="8" s="1"/>
  <c r="F2" i="5"/>
  <c r="C17" i="8" s="1"/>
  <c r="D18" i="8"/>
  <c r="D19" i="8"/>
  <c r="D20" i="8"/>
  <c r="B17" i="8"/>
  <c r="B16" i="8"/>
  <c r="D9" i="8"/>
  <c r="C9" i="8"/>
  <c r="B10" i="8"/>
  <c r="B11" i="8"/>
  <c r="B12" i="8"/>
  <c r="B9" i="8"/>
  <c r="D3" i="8"/>
  <c r="D2" i="8"/>
  <c r="C2" i="8"/>
  <c r="B4" i="8"/>
  <c r="B5" i="8"/>
  <c r="B6" i="8"/>
  <c r="B3" i="8"/>
  <c r="B2" i="8"/>
  <c r="E2" i="5"/>
  <c r="D2" i="6"/>
  <c r="D2" i="5"/>
  <c r="B2" i="6"/>
  <c r="B3" i="6" s="1"/>
  <c r="B4" i="6" s="1"/>
  <c r="B5" i="6" s="1"/>
  <c r="D6" i="8" s="1"/>
  <c r="B2" i="5"/>
  <c r="B3" i="5" s="1"/>
  <c r="B4" i="5" s="1"/>
  <c r="B5" i="5" s="1"/>
  <c r="B6" i="5" s="1"/>
  <c r="B7" i="5" s="1"/>
  <c r="C5" i="5" l="1"/>
  <c r="D5" i="8"/>
  <c r="D4" i="8"/>
  <c r="C3" i="8"/>
  <c r="C6" i="8"/>
  <c r="C5" i="8"/>
  <c r="C4" i="8"/>
  <c r="H3" i="4"/>
  <c r="G3" i="4" s="1"/>
  <c r="H4" i="4"/>
  <c r="G4" i="4" s="1"/>
  <c r="H5" i="4"/>
  <c r="H2" i="4"/>
  <c r="G2" i="4" s="1"/>
  <c r="G5" i="4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6" i="7"/>
  <c r="D16" i="7"/>
  <c r="E16" i="7"/>
  <c r="F16" i="7"/>
  <c r="E2" i="6" s="1"/>
  <c r="E3" i="6" s="1"/>
  <c r="E4" i="6" s="1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G7" i="7"/>
  <c r="G8" i="7"/>
  <c r="G9" i="7"/>
  <c r="G6" i="7"/>
  <c r="F7" i="7"/>
  <c r="F8" i="7"/>
  <c r="F9" i="7"/>
  <c r="F6" i="7"/>
  <c r="E3" i="5" s="1"/>
  <c r="E4" i="5" s="1"/>
  <c r="E5" i="5" s="1"/>
  <c r="E6" i="5" s="1"/>
  <c r="E7" i="5" s="1"/>
  <c r="E7" i="7"/>
  <c r="E8" i="7"/>
  <c r="E9" i="7"/>
  <c r="E6" i="7"/>
  <c r="D7" i="7"/>
  <c r="D8" i="7"/>
  <c r="C3" i="6" s="1"/>
  <c r="D9" i="7"/>
  <c r="D6" i="7"/>
  <c r="C7" i="7"/>
  <c r="C8" i="7"/>
  <c r="C9" i="7"/>
  <c r="C6" i="7"/>
  <c r="H42" i="2"/>
  <c r="I42" i="2" s="1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C12" i="8" l="1"/>
  <c r="C6" i="5"/>
  <c r="C7" i="5" s="1"/>
  <c r="D10" i="8"/>
  <c r="G3" i="6"/>
  <c r="D24" i="8" s="1"/>
  <c r="E5" i="6"/>
  <c r="E6" i="6" s="1"/>
  <c r="E7" i="6" s="1"/>
  <c r="D3" i="5"/>
  <c r="D4" i="5" s="1"/>
  <c r="D5" i="5" s="1"/>
  <c r="D6" i="5" s="1"/>
  <c r="D7" i="5" s="1"/>
  <c r="D3" i="6"/>
  <c r="D4" i="6" s="1"/>
  <c r="D5" i="6" s="1"/>
  <c r="D6" i="6" s="1"/>
  <c r="D7" i="6" s="1"/>
  <c r="C4" i="6"/>
  <c r="J16" i="2"/>
  <c r="C5" i="6" l="1"/>
  <c r="D11" i="8"/>
  <c r="J15" i="2"/>
  <c r="D12" i="8" l="1"/>
  <c r="C6" i="6"/>
  <c r="C7" i="6" s="1"/>
  <c r="J14" i="2"/>
  <c r="J12" i="2" l="1"/>
  <c r="J13" i="2"/>
  <c r="J11" i="2" l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H20" i="7" l="1"/>
  <c r="H8" i="7"/>
  <c r="H17" i="7"/>
  <c r="H9" i="7"/>
  <c r="H22" i="7"/>
  <c r="H11" i="7"/>
  <c r="H16" i="7"/>
  <c r="H21" i="7"/>
  <c r="H18" i="7"/>
  <c r="H10" i="7"/>
  <c r="H6" i="7"/>
  <c r="H12" i="7"/>
  <c r="H7" i="7"/>
  <c r="C24" i="8" s="1"/>
  <c r="H19" i="7"/>
  <c r="J10" i="2"/>
  <c r="G4" i="6" l="1"/>
  <c r="J9" i="2"/>
  <c r="G5" i="6" l="1"/>
  <c r="G6" i="6" s="1"/>
  <c r="G7" i="6" s="1"/>
  <c r="D25" i="8"/>
  <c r="C25" i="8"/>
  <c r="J8" i="2"/>
  <c r="D26" i="8" l="1"/>
  <c r="C26" i="8"/>
  <c r="J7" i="2"/>
  <c r="J5" i="2" l="1"/>
  <c r="J6" i="2"/>
  <c r="J4" i="2" l="1"/>
  <c r="J3" i="2" l="1"/>
  <c r="I12" i="7" l="1"/>
  <c r="I20" i="7"/>
  <c r="I17" i="7"/>
  <c r="I22" i="7"/>
  <c r="I16" i="7"/>
  <c r="I7" i="7"/>
  <c r="I21" i="7"/>
  <c r="I8" i="7"/>
  <c r="I11" i="7"/>
  <c r="I18" i="7"/>
  <c r="I9" i="7"/>
  <c r="I10" i="7"/>
  <c r="I6" i="7"/>
  <c r="I19" i="7"/>
</calcChain>
</file>

<file path=xl/sharedStrings.xml><?xml version="1.0" encoding="utf-8"?>
<sst xmlns="http://schemas.openxmlformats.org/spreadsheetml/2006/main" count="93" uniqueCount="25">
  <si>
    <t>Dates</t>
  </si>
  <si>
    <t>quarter</t>
  </si>
  <si>
    <t>gdp</t>
  </si>
  <si>
    <t>reporate</t>
  </si>
  <si>
    <t>cpi</t>
  </si>
  <si>
    <t>forex</t>
  </si>
  <si>
    <t>property</t>
  </si>
  <si>
    <t>d_price</t>
  </si>
  <si>
    <t>d_property</t>
  </si>
  <si>
    <t>d_repo</t>
  </si>
  <si>
    <t>Scenario 2</t>
  </si>
  <si>
    <t>std dev</t>
  </si>
  <si>
    <t>Scenario 3</t>
  </si>
  <si>
    <t>GDP</t>
  </si>
  <si>
    <t>Baseline</t>
  </si>
  <si>
    <t>Adverse 1</t>
  </si>
  <si>
    <t>Adverse 2</t>
  </si>
  <si>
    <t>2024Q2</t>
  </si>
  <si>
    <t>2024Q3</t>
  </si>
  <si>
    <t>2024Q4</t>
  </si>
  <si>
    <t>2025Q1</t>
  </si>
  <si>
    <t>7DRR</t>
  </si>
  <si>
    <t>Housing</t>
  </si>
  <si>
    <t>Bond Price</t>
  </si>
  <si>
    <t>2025Q2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</si>
</sst>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GDP</a:t>
            </a:r>
            <a:r>
              <a:rPr lang="en-AU" baseline="0"/>
              <a:t> Growth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Presentation!$B$2:$B$6</c:f>
              <c:numCache>
                <c:formatCode>0.00</c:formatCode>
                <c:ptCount val="5"/>
                <c:pt idx="0">
                  <c:v>5.05</c:v>
                </c:pt>
                <c:pt idx="1">
                  <c:v>4.9000000000000004</c:v>
                </c:pt>
                <c:pt idx="2">
                  <c:v>5</c:v>
                </c:pt>
                <c:pt idx="3">
                  <c:v>5</c:v>
                </c:pt>
                <c:pt idx="4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E-4B8E-AD7F-2706A88E3995}"/>
            </c:ext>
          </c:extLst>
        </c:ser>
        <c:ser>
          <c:idx val="1"/>
          <c:order val="1"/>
          <c:tx>
            <c:strRef>
              <c:f>Presentation!$C$1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Presentation!$C$2:$C$6</c:f>
              <c:numCache>
                <c:formatCode>0.00</c:formatCode>
                <c:ptCount val="5"/>
                <c:pt idx="0">
                  <c:v>5.05</c:v>
                </c:pt>
                <c:pt idx="1">
                  <c:v>4.4239129514372229</c:v>
                </c:pt>
                <c:pt idx="2">
                  <c:v>3.7978259028744459</c:v>
                </c:pt>
                <c:pt idx="3">
                  <c:v>3.1717388543116689</c:v>
                </c:pt>
                <c:pt idx="4">
                  <c:v>2.5456518057488919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E-4B8E-AD7F-2706A88E3995}"/>
            </c:ext>
          </c:extLst>
        </c:ser>
        <c:ser>
          <c:idx val="2"/>
          <c:order val="2"/>
          <c:tx>
            <c:strRef>
              <c:f>Presentation!$D$1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Presentation!$D$2:$D$6</c:f>
              <c:numCache>
                <c:formatCode>0.00</c:formatCode>
                <c:ptCount val="5"/>
                <c:pt idx="0">
                  <c:v>5.05</c:v>
                </c:pt>
                <c:pt idx="1">
                  <c:v>3.7978259028744463</c:v>
                </c:pt>
                <c:pt idx="2">
                  <c:v>2.5456518057488928</c:v>
                </c:pt>
                <c:pt idx="3">
                  <c:v>1.2934777086233393</c:v>
                </c:pt>
                <c:pt idx="4">
                  <c:v>4.130361149778583E-2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3E-4B8E-AD7F-2706A88E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501007"/>
        <c:axId val="402477007"/>
      </c:lineChart>
      <c:catAx>
        <c:axId val="40250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7007"/>
        <c:crosses val="autoZero"/>
        <c:auto val="1"/>
        <c:lblAlgn val="ctr"/>
        <c:lblOffset val="100"/>
        <c:noMultiLvlLbl val="0"/>
      </c:catAx>
      <c:valAx>
        <c:axId val="4024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7-Day</a:t>
            </a:r>
            <a:r>
              <a:rPr lang="en-AU" baseline="0"/>
              <a:t> Repo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Presentation!$B$8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Presentation!$B$9:$B$12</c:f>
              <c:numCache>
                <c:formatCode>0.00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5.75</c:v>
                </c:pt>
                <c:pt idx="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6-40FC-9BF6-DEBC811E829B}"/>
            </c:ext>
          </c:extLst>
        </c:ser>
        <c:ser>
          <c:idx val="1"/>
          <c:order val="1"/>
          <c:tx>
            <c:strRef>
              <c:f>Presentation!$C$8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Presentation!$C$9:$C$12</c:f>
              <c:numCache>
                <c:formatCode>0.00</c:formatCode>
                <c:ptCount val="4"/>
                <c:pt idx="0">
                  <c:v>6</c:v>
                </c:pt>
                <c:pt idx="1">
                  <c:v>5.7481490017790717</c:v>
                </c:pt>
                <c:pt idx="2">
                  <c:v>5.4962980035581435</c:v>
                </c:pt>
                <c:pt idx="3">
                  <c:v>5.2444470053372152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6-40FC-9BF6-DEBC811E829B}"/>
            </c:ext>
          </c:extLst>
        </c:ser>
        <c:ser>
          <c:idx val="2"/>
          <c:order val="2"/>
          <c:tx>
            <c:strRef>
              <c:f>Presentation!$D$8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Presentation!$D$9:$D$12</c:f>
              <c:numCache>
                <c:formatCode>0.00</c:formatCode>
                <c:ptCount val="4"/>
                <c:pt idx="0">
                  <c:v>6</c:v>
                </c:pt>
                <c:pt idx="1">
                  <c:v>6.2518509982209283</c:v>
                </c:pt>
                <c:pt idx="2">
                  <c:v>6.5037019964418565</c:v>
                </c:pt>
                <c:pt idx="3">
                  <c:v>6.7555529946627848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6-40FC-9BF6-DEBC811E8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29151"/>
        <c:axId val="472430111"/>
      </c:lineChart>
      <c:catAx>
        <c:axId val="4724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30111"/>
        <c:crosses val="autoZero"/>
        <c:auto val="1"/>
        <c:lblAlgn val="ctr"/>
        <c:lblOffset val="100"/>
        <c:noMultiLvlLbl val="0"/>
      </c:catAx>
      <c:valAx>
        <c:axId val="472430111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Change</a:t>
            </a:r>
            <a:r>
              <a:rPr lang="en-AU" baseline="0"/>
              <a:t> in House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Presentation!$B$15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Presentation!$B$16:$B$20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1.0900000000000034</c:v>
                </c:pt>
                <c:pt idx="2">
                  <c:v>0.76238538730677774</c:v>
                </c:pt>
                <c:pt idx="3">
                  <c:v>0.43477077461355207</c:v>
                </c:pt>
                <c:pt idx="4">
                  <c:v>0.24000000000000909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0-4C5D-BA33-B95CF9CE3C67}"/>
            </c:ext>
          </c:extLst>
        </c:ser>
        <c:ser>
          <c:idx val="1"/>
          <c:order val="1"/>
          <c:tx>
            <c:strRef>
              <c:f>Presentation!$C$15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Presentation!$C$16:$C$20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0.29729028150394038</c:v>
                </c:pt>
                <c:pt idx="2">
                  <c:v>0.35999999999998522</c:v>
                </c:pt>
                <c:pt idx="3">
                  <c:v>0</c:v>
                </c:pt>
                <c:pt idx="4">
                  <c:v>0.1071561619203264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0-4C5D-BA33-B95CF9CE3C67}"/>
            </c:ext>
          </c:extLst>
        </c:ser>
        <c:ser>
          <c:idx val="2"/>
          <c:order val="2"/>
          <c:tx>
            <c:strRef>
              <c:f>Presentation!$D$15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Presentation!$D$16:$D$20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0.20871888300788996</c:v>
                </c:pt>
                <c:pt idx="2">
                  <c:v>-1.3900000000000148</c:v>
                </c:pt>
                <c:pt idx="3">
                  <c:v>-2.6500000000000057</c:v>
                </c:pt>
                <c:pt idx="4">
                  <c:v>-2.5699999999999932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0-4C5D-BA33-B95CF9CE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510671"/>
        <c:axId val="506513071"/>
      </c:lineChart>
      <c:catAx>
        <c:axId val="5065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3071"/>
        <c:crosses val="autoZero"/>
        <c:auto val="1"/>
        <c:lblAlgn val="ctr"/>
        <c:lblOffset val="100"/>
        <c:noMultiLvlLbl val="0"/>
      </c:catAx>
      <c:valAx>
        <c:axId val="5065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 Change</a:t>
            </a:r>
            <a:r>
              <a:rPr lang="en-AU" baseline="0"/>
              <a:t> in Bond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Presentation!$B$22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Presentation!$B$23:$B$26</c:f>
              <c:numCache>
                <c:formatCode>0.00</c:formatCode>
                <c:ptCount val="4"/>
                <c:pt idx="0">
                  <c:v>2.5</c:v>
                </c:pt>
                <c:pt idx="1">
                  <c:v>0</c:v>
                </c:pt>
                <c:pt idx="2">
                  <c:v>2.5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9-4AE3-BCF2-477CBF04551F}"/>
            </c:ext>
          </c:extLst>
        </c:ser>
        <c:ser>
          <c:idx val="1"/>
          <c:order val="1"/>
          <c:tx>
            <c:strRef>
              <c:f>Presentation!$C$22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Presentation!$C$23:$C$26</c:f>
              <c:numCache>
                <c:formatCode>0.00</c:formatCode>
                <c:ptCount val="4"/>
                <c:pt idx="0">
                  <c:v>2.5</c:v>
                </c:pt>
                <c:pt idx="1">
                  <c:v>2.5185099822092827</c:v>
                </c:pt>
                <c:pt idx="2">
                  <c:v>2.5185099822092827</c:v>
                </c:pt>
                <c:pt idx="3">
                  <c:v>2.5185099822092827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9-4AE3-BCF2-477CBF04551F}"/>
            </c:ext>
          </c:extLst>
        </c:ser>
        <c:ser>
          <c:idx val="2"/>
          <c:order val="2"/>
          <c:tx>
            <c:strRef>
              <c:f>Presentation!$D$22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Presentation!$D$23:$D$26</c:f>
              <c:numCache>
                <c:formatCode>0.00</c:formatCode>
                <c:ptCount val="4"/>
                <c:pt idx="0">
                  <c:v>2.5</c:v>
                </c:pt>
                <c:pt idx="1">
                  <c:v>-2.5185099822092827</c:v>
                </c:pt>
                <c:pt idx="2">
                  <c:v>-4.4796713335911234</c:v>
                </c:pt>
                <c:pt idx="3">
                  <c:v>-6.440832684972964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9-4AE3-BCF2-477CBF04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540335"/>
        <c:axId val="518540815"/>
      </c:lineChart>
      <c:catAx>
        <c:axId val="51854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815"/>
        <c:crosses val="autoZero"/>
        <c:auto val="1"/>
        <c:lblAlgn val="ctr"/>
        <c:lblOffset val="100"/>
        <c:noMultiLvlLbl val="0"/>
      </c:catAx>
      <c:valAx>
        <c:axId val="5185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59530</xdr:colOff>
      <xdr:row>0</xdr:row>
      <xdr:rowOff>80962</xdr:rowOff>
    </xdr:from>
    <xdr:to>
      <xdr:col>12</xdr:col>
      <xdr:colOff>97630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0E6CE-BEDC-1810-2B96-D0B1E422A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21431</xdr:colOff>
      <xdr:row>16</xdr:row>
      <xdr:rowOff>76199</xdr:rowOff>
    </xdr:from>
    <xdr:to>
      <xdr:col>12</xdr:col>
      <xdr:colOff>59531</xdr:colOff>
      <xdr:row>31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FBD17-C3E0-E7FF-2570-A92D2E1AC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607219</xdr:colOff>
      <xdr:row>31</xdr:row>
      <xdr:rowOff>104775</xdr:rowOff>
    </xdr:from>
    <xdr:to>
      <xdr:col>11</xdr:col>
      <xdr:colOff>645319</xdr:colOff>
      <xdr:row>46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F8DD8-8908-137A-C04B-E83646060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459580</xdr:colOff>
      <xdr:row>47</xdr:row>
      <xdr:rowOff>123826</xdr:rowOff>
    </xdr:from>
    <xdr:to>
      <xdr:col>11</xdr:col>
      <xdr:colOff>497680</xdr:colOff>
      <xdr:row>62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EF41E-C1C4-0965-B4BA-6157B09EC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48C-5E8B-4193-A522-ACE31EF6A39B}">
  <dimension ref="A1:I22"/>
  <sheetViews>
    <sheetView topLeftCell="A4" workbookViewId="0">
      <selection activeCell="I16" sqref="I16"/>
    </sheetView>
  </sheetViews>
  <sheetFormatPr defaultRowHeight="14.25" x14ac:dyDescent="0.45"/>
  <cols>
    <col min="1" max="1" width="11.265625" customWidth="1"/>
  </cols>
  <sheetData>
    <row r="1" spans="1:9" x14ac:dyDescent="0.45">
      <c r="A1" t="s">
        <v>10</v>
      </c>
      <c r="B1" s="6">
        <v>0.25</v>
      </c>
      <c r="C1" t="s">
        <v>11</v>
      </c>
    </row>
    <row r="2" spans="1:9" x14ac:dyDescent="0.45">
      <c r="A2" t="s">
        <v>12</v>
      </c>
      <c r="B2" s="6">
        <v>0.5</v>
      </c>
      <c r="C2" t="s">
        <v>11</v>
      </c>
    </row>
    <row r="4" spans="1:9" x14ac:dyDescent="0.45">
      <c r="A4" s="8" t="s">
        <v>10</v>
      </c>
      <c r="B4" s="8"/>
      <c r="C4" s="8"/>
      <c r="D4" s="8"/>
      <c r="E4" s="8"/>
      <c r="F4" s="8"/>
      <c r="G4" s="8"/>
    </row>
    <row r="5" spans="1:9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</row>
    <row r="6" spans="1:9" x14ac:dyDescent="0.45">
      <c r="A6" s="1">
        <v>45473</v>
      </c>
      <c r="B6" s="7">
        <v>257</v>
      </c>
      <c r="C6">
        <f>$B$1*_xlfn.STDEV.S(Macro!C$2:C$42)</f>
        <v>0.62608704856277675</v>
      </c>
      <c r="D6">
        <f>$B$1*_xlfn.STDEV.S(Macro!G$2:G$42)</f>
        <v>0.25185099822092843</v>
      </c>
      <c r="E6">
        <f>$B$1*_xlfn.STDEV.S(Macro!D$2:D$42)</f>
        <v>0.42527583409003561</v>
      </c>
      <c r="F6">
        <f>$B$1*_xlfn.STDEV.S(Macro!E$2:E$42)</f>
        <v>255.95349293376452</v>
      </c>
      <c r="G6">
        <f>$B$1*_xlfn.STDEV.S(Macro!F$2:F$42)</f>
        <v>1.5846023327936023</v>
      </c>
      <c r="H6">
        <f>$B$1*_xlfn.STDEV.S(Macro!I$2:I$42)</f>
        <v>0.98058067569092022</v>
      </c>
      <c r="I6">
        <f>$B$1*_xlfn.STDEV.S(Macro!J$2:J$42)</f>
        <v>8.8571398496050405E-2</v>
      </c>
    </row>
    <row r="7" spans="1:9" x14ac:dyDescent="0.45">
      <c r="A7" s="1">
        <v>45565</v>
      </c>
      <c r="B7">
        <v>258</v>
      </c>
      <c r="C7">
        <f>$B$1*_xlfn.STDEV.S(Macro!C$2:C$42)</f>
        <v>0.62608704856277675</v>
      </c>
      <c r="D7">
        <f>$B$1*_xlfn.STDEV.S(Macro!G$2:G$42)</f>
        <v>0.25185099822092843</v>
      </c>
      <c r="E7">
        <f>$B$1*_xlfn.STDEV.S(Macro!D$2:D$42)</f>
        <v>0.42527583409003561</v>
      </c>
      <c r="F7">
        <f>$B$1*_xlfn.STDEV.S(Macro!E$2:E$42)</f>
        <v>255.95349293376452</v>
      </c>
      <c r="G7">
        <f>$B$1*_xlfn.STDEV.S(Macro!F$2:F$42)</f>
        <v>1.5846023327936023</v>
      </c>
      <c r="H7">
        <f>$B$1*_xlfn.STDEV.S(Macro!I$2:I$42)</f>
        <v>0.98058067569092022</v>
      </c>
      <c r="I7">
        <f>$B$1*_xlfn.STDEV.S(Macro!J$2:J$42)</f>
        <v>8.8571398496050405E-2</v>
      </c>
    </row>
    <row r="8" spans="1:9" x14ac:dyDescent="0.45">
      <c r="A8" s="1">
        <v>45657</v>
      </c>
      <c r="B8">
        <v>259</v>
      </c>
      <c r="C8">
        <f>$B$1*_xlfn.STDEV.S(Macro!C$2:C$42)</f>
        <v>0.62608704856277675</v>
      </c>
      <c r="D8">
        <f>$B$1*_xlfn.STDEV.S(Macro!G$2:G$42)</f>
        <v>0.25185099822092843</v>
      </c>
      <c r="E8">
        <f>$B$1*_xlfn.STDEV.S(Macro!D$2:D$42)</f>
        <v>0.42527583409003561</v>
      </c>
      <c r="F8">
        <f>$B$1*_xlfn.STDEV.S(Macro!E$2:E$42)</f>
        <v>255.95349293376452</v>
      </c>
      <c r="G8">
        <f>$B$1*_xlfn.STDEV.S(Macro!F$2:F$42)</f>
        <v>1.5846023327936023</v>
      </c>
      <c r="H8">
        <f>$B$1*_xlfn.STDEV.S(Macro!I$2:I$42)</f>
        <v>0.98058067569092022</v>
      </c>
      <c r="I8">
        <f>$B$1*_xlfn.STDEV.S(Macro!J$2:J$42)</f>
        <v>8.8571398496050405E-2</v>
      </c>
    </row>
    <row r="9" spans="1:9" x14ac:dyDescent="0.45">
      <c r="A9" s="1">
        <v>45747</v>
      </c>
      <c r="B9">
        <v>260</v>
      </c>
      <c r="C9">
        <f>$B$1*_xlfn.STDEV.S(Macro!C$2:C$42)</f>
        <v>0.62608704856277675</v>
      </c>
      <c r="D9">
        <f>$B$1*_xlfn.STDEV.S(Macro!G$2:G$42)</f>
        <v>0.25185099822092843</v>
      </c>
      <c r="E9">
        <f>$B$1*_xlfn.STDEV.S(Macro!D$2:D$42)</f>
        <v>0.42527583409003561</v>
      </c>
      <c r="F9">
        <f>$B$1*_xlfn.STDEV.S(Macro!E$2:E$42)</f>
        <v>255.95349293376452</v>
      </c>
      <c r="G9">
        <f>$B$1*_xlfn.STDEV.S(Macro!F$2:F$42)</f>
        <v>1.5846023327936023</v>
      </c>
      <c r="H9">
        <f>$B$1*_xlfn.STDEV.S(Macro!I$2:I$42)</f>
        <v>0.98058067569092022</v>
      </c>
      <c r="I9">
        <f>$B$1*_xlfn.STDEV.S(Macro!J$2:J$42)</f>
        <v>8.8571398496050405E-2</v>
      </c>
    </row>
    <row r="10" spans="1:9" x14ac:dyDescent="0.45">
      <c r="A10" s="3">
        <v>45838</v>
      </c>
      <c r="B10">
        <v>261</v>
      </c>
      <c r="C10">
        <f>$B$1*_xlfn.STDEV.S(Macro!C$2:C$42)</f>
        <v>0.62608704856277675</v>
      </c>
      <c r="D10">
        <f>$B$1*_xlfn.STDEV.S(Macro!G$2:G$42)</f>
        <v>0.25185099822092843</v>
      </c>
      <c r="E10">
        <f>$B$1*_xlfn.STDEV.S(Macro!D$2:D$42)</f>
        <v>0.42527583409003561</v>
      </c>
      <c r="F10">
        <f>$B$1*_xlfn.STDEV.S(Macro!E$2:E$42)</f>
        <v>255.95349293376452</v>
      </c>
      <c r="G10">
        <f>$B$1*_xlfn.STDEV.S(Macro!F$2:F$42)</f>
        <v>1.5846023327936023</v>
      </c>
      <c r="H10">
        <f>$B$1*_xlfn.STDEV.S(Macro!I$2:I$42)</f>
        <v>0.98058067569092022</v>
      </c>
      <c r="I10">
        <f>$B$1*_xlfn.STDEV.S(Macro!J$2:J$42)</f>
        <v>8.8571398496050405E-2</v>
      </c>
    </row>
    <row r="11" spans="1:9" x14ac:dyDescent="0.45">
      <c r="A11" s="3">
        <v>45930</v>
      </c>
      <c r="B11">
        <v>262</v>
      </c>
      <c r="C11">
        <f>$B$1*_xlfn.STDEV.S(Macro!C$2:C$42)</f>
        <v>0.62608704856277675</v>
      </c>
      <c r="D11">
        <f>$B$1*_xlfn.STDEV.S(Macro!G$2:G$42)</f>
        <v>0.25185099822092843</v>
      </c>
      <c r="E11">
        <f>$B$1*_xlfn.STDEV.S(Macro!D$2:D$42)</f>
        <v>0.42527583409003561</v>
      </c>
      <c r="F11">
        <f>$B$1*_xlfn.STDEV.S(Macro!E$2:E$42)</f>
        <v>255.95349293376452</v>
      </c>
      <c r="G11">
        <f>$B$1*_xlfn.STDEV.S(Macro!F$2:F$42)</f>
        <v>1.5846023327936023</v>
      </c>
      <c r="H11">
        <f>$B$1*_xlfn.STDEV.S(Macro!I$2:I$42)</f>
        <v>0.98058067569092022</v>
      </c>
      <c r="I11">
        <f>$B$1*_xlfn.STDEV.S(Macro!J$2:J$42)</f>
        <v>8.8571398496050405E-2</v>
      </c>
    </row>
    <row r="12" spans="1:9" x14ac:dyDescent="0.45">
      <c r="A12" s="3">
        <v>46022</v>
      </c>
      <c r="B12">
        <v>263</v>
      </c>
      <c r="C12">
        <f>$B$1*_xlfn.STDEV.S(Macro!C$2:C$42)</f>
        <v>0.62608704856277675</v>
      </c>
      <c r="D12">
        <f>$B$1*_xlfn.STDEV.S(Macro!G$2:G$42)</f>
        <v>0.25185099822092843</v>
      </c>
      <c r="E12">
        <f>$B$1*_xlfn.STDEV.S(Macro!D$2:D$42)</f>
        <v>0.42527583409003561</v>
      </c>
      <c r="F12">
        <f>$B$1*_xlfn.STDEV.S(Macro!E$2:E$42)</f>
        <v>255.95349293376452</v>
      </c>
      <c r="G12">
        <f>$B$1*_xlfn.STDEV.S(Macro!F$2:F$42)</f>
        <v>1.5846023327936023</v>
      </c>
      <c r="H12">
        <f>$B$1*_xlfn.STDEV.S(Macro!I$2:I$42)</f>
        <v>0.98058067569092022</v>
      </c>
      <c r="I12">
        <f>$B$1*_xlfn.STDEV.S(Macro!J$2:J$42)</f>
        <v>8.8571398496050405E-2</v>
      </c>
    </row>
    <row r="13" spans="1:9" x14ac:dyDescent="0.45">
      <c r="A13" s="1"/>
      <c r="B13" s="7"/>
    </row>
    <row r="14" spans="1:9" x14ac:dyDescent="0.45">
      <c r="A14" s="8" t="s">
        <v>12</v>
      </c>
      <c r="B14" s="8"/>
      <c r="C14" s="8"/>
      <c r="D14" s="8"/>
      <c r="E14" s="8"/>
      <c r="F14" s="8"/>
      <c r="G14" s="8"/>
    </row>
    <row r="15" spans="1:9" x14ac:dyDescent="0.4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</row>
    <row r="16" spans="1:9" x14ac:dyDescent="0.45">
      <c r="A16" s="1">
        <v>45473</v>
      </c>
      <c r="B16" s="7">
        <v>257</v>
      </c>
      <c r="C16">
        <f>$B$2*_xlfn.STDEV.S(Macro!C$2:C$42)</f>
        <v>1.2521740971255535</v>
      </c>
      <c r="D16">
        <f>$B$2*_xlfn.STDEV.S(Macro!G$2:G$42)</f>
        <v>0.50370199644185687</v>
      </c>
      <c r="E16">
        <f>$B$2*_xlfn.STDEV.S(Macro!D$2:D$42)</f>
        <v>0.85055166818007122</v>
      </c>
      <c r="F16">
        <f>$B$2*_xlfn.STDEV.S(Macro!E$2:E$42)</f>
        <v>511.90698586752904</v>
      </c>
      <c r="G16">
        <f>$B$2*_xlfn.STDEV.S(Macro!F$2:F$42)</f>
        <v>3.1692046655872046</v>
      </c>
      <c r="H16">
        <f>$B$2*_xlfn.STDEV.S(Macro!I$2:I$42)</f>
        <v>1.9611613513818404</v>
      </c>
      <c r="I16">
        <f>$B$2*_xlfn.STDEV.S(Macro!J$2:J$42)</f>
        <v>0.17714279699210081</v>
      </c>
    </row>
    <row r="17" spans="1:9" x14ac:dyDescent="0.45">
      <c r="A17" s="1">
        <v>45565</v>
      </c>
      <c r="B17">
        <v>258</v>
      </c>
      <c r="C17">
        <f>$B$2*_xlfn.STDEV.S(Macro!C$2:C$42)</f>
        <v>1.2521740971255535</v>
      </c>
      <c r="D17">
        <f>$B$2*_xlfn.STDEV.S(Macro!G$2:G$42)</f>
        <v>0.50370199644185687</v>
      </c>
      <c r="E17">
        <f>$B$2*_xlfn.STDEV.S(Macro!D$2:D$42)</f>
        <v>0.85055166818007122</v>
      </c>
      <c r="F17">
        <f>$B$2*_xlfn.STDEV.S(Macro!E$2:E$42)</f>
        <v>511.90698586752904</v>
      </c>
      <c r="G17">
        <f>$B$2*_xlfn.STDEV.S(Macro!F$2:F$42)</f>
        <v>3.1692046655872046</v>
      </c>
      <c r="H17">
        <f>$B$2*_xlfn.STDEV.S(Macro!I$2:I$42)</f>
        <v>1.9611613513818404</v>
      </c>
      <c r="I17">
        <f>$B$2*_xlfn.STDEV.S(Macro!J$2:J$42)</f>
        <v>0.17714279699210081</v>
      </c>
    </row>
    <row r="18" spans="1:9" x14ac:dyDescent="0.45">
      <c r="A18" s="1">
        <v>45657</v>
      </c>
      <c r="B18">
        <v>259</v>
      </c>
      <c r="C18">
        <f>$B$2*_xlfn.STDEV.S(Macro!C$2:C$42)</f>
        <v>1.2521740971255535</v>
      </c>
      <c r="D18">
        <f>$B$2*_xlfn.STDEV.S(Macro!G$2:G$42)</f>
        <v>0.50370199644185687</v>
      </c>
      <c r="E18">
        <f>$B$2*_xlfn.STDEV.S(Macro!D$2:D$42)</f>
        <v>0.85055166818007122</v>
      </c>
      <c r="F18">
        <f>$B$2*_xlfn.STDEV.S(Macro!E$2:E$42)</f>
        <v>511.90698586752904</v>
      </c>
      <c r="G18">
        <f>$B$2*_xlfn.STDEV.S(Macro!F$2:F$42)</f>
        <v>3.1692046655872046</v>
      </c>
      <c r="H18">
        <f>$B$2*_xlfn.STDEV.S(Macro!I$2:I$42)</f>
        <v>1.9611613513818404</v>
      </c>
      <c r="I18">
        <f>$B$2*_xlfn.STDEV.S(Macro!J$2:J$42)</f>
        <v>0.17714279699210081</v>
      </c>
    </row>
    <row r="19" spans="1:9" x14ac:dyDescent="0.45">
      <c r="A19" s="1">
        <v>45747</v>
      </c>
      <c r="B19">
        <v>260</v>
      </c>
      <c r="C19">
        <f>$B$2*_xlfn.STDEV.S(Macro!C$2:C$42)</f>
        <v>1.2521740971255535</v>
      </c>
      <c r="D19">
        <f>$B$2*_xlfn.STDEV.S(Macro!G$2:G$42)</f>
        <v>0.50370199644185687</v>
      </c>
      <c r="E19">
        <f>$B$2*_xlfn.STDEV.S(Macro!D$2:D$42)</f>
        <v>0.85055166818007122</v>
      </c>
      <c r="F19">
        <f>$B$2*_xlfn.STDEV.S(Macro!E$2:E$42)</f>
        <v>511.90698586752904</v>
      </c>
      <c r="G19">
        <f>$B$2*_xlfn.STDEV.S(Macro!F$2:F$42)</f>
        <v>3.1692046655872046</v>
      </c>
      <c r="H19">
        <f>$B$2*_xlfn.STDEV.S(Macro!I$2:I$42)</f>
        <v>1.9611613513818404</v>
      </c>
      <c r="I19">
        <f>$B$2*_xlfn.STDEV.S(Macro!J$2:J$42)</f>
        <v>0.17714279699210081</v>
      </c>
    </row>
    <row r="20" spans="1:9" x14ac:dyDescent="0.45">
      <c r="A20" s="3">
        <v>45838</v>
      </c>
      <c r="B20">
        <v>261</v>
      </c>
      <c r="C20">
        <f>$B$2*_xlfn.STDEV.S(Macro!C$2:C$42)</f>
        <v>1.2521740971255535</v>
      </c>
      <c r="D20">
        <f>$B$2*_xlfn.STDEV.S(Macro!G$2:G$42)</f>
        <v>0.50370199644185687</v>
      </c>
      <c r="E20">
        <f>$B$2*_xlfn.STDEV.S(Macro!D$2:D$42)</f>
        <v>0.85055166818007122</v>
      </c>
      <c r="F20">
        <f>$B$2*_xlfn.STDEV.S(Macro!E$2:E$42)</f>
        <v>511.90698586752904</v>
      </c>
      <c r="G20">
        <f>$B$2*_xlfn.STDEV.S(Macro!F$2:F$42)</f>
        <v>3.1692046655872046</v>
      </c>
      <c r="H20">
        <f>$B$2*_xlfn.STDEV.S(Macro!I$2:I$42)</f>
        <v>1.9611613513818404</v>
      </c>
      <c r="I20">
        <f>$B$2*_xlfn.STDEV.S(Macro!J$2:J$42)</f>
        <v>0.17714279699210081</v>
      </c>
    </row>
    <row r="21" spans="1:9" x14ac:dyDescent="0.45">
      <c r="A21" s="3">
        <v>45930</v>
      </c>
      <c r="B21">
        <v>262</v>
      </c>
      <c r="C21">
        <f>$B$2*_xlfn.STDEV.S(Macro!C$2:C$42)</f>
        <v>1.2521740971255535</v>
      </c>
      <c r="D21">
        <f>$B$2*_xlfn.STDEV.S(Macro!G$2:G$42)</f>
        <v>0.50370199644185687</v>
      </c>
      <c r="E21">
        <f>$B$2*_xlfn.STDEV.S(Macro!D$2:D$42)</f>
        <v>0.85055166818007122</v>
      </c>
      <c r="F21">
        <f>$B$2*_xlfn.STDEV.S(Macro!E$2:E$42)</f>
        <v>511.90698586752904</v>
      </c>
      <c r="G21">
        <f>$B$2*_xlfn.STDEV.S(Macro!F$2:F$42)</f>
        <v>3.1692046655872046</v>
      </c>
      <c r="H21">
        <f>$B$2*_xlfn.STDEV.S(Macro!I$2:I$42)</f>
        <v>1.9611613513818404</v>
      </c>
      <c r="I21">
        <f>$B$2*_xlfn.STDEV.S(Macro!J$2:J$42)</f>
        <v>0.17714279699210081</v>
      </c>
    </row>
    <row r="22" spans="1:9" x14ac:dyDescent="0.45">
      <c r="A22" s="3">
        <v>46022</v>
      </c>
      <c r="B22">
        <v>263</v>
      </c>
      <c r="C22">
        <f>$B$2*_xlfn.STDEV.S(Macro!C$2:C$42)</f>
        <v>1.2521740971255535</v>
      </c>
      <c r="D22">
        <f>$B$2*_xlfn.STDEV.S(Macro!G$2:G$42)</f>
        <v>0.50370199644185687</v>
      </c>
      <c r="E22">
        <f>$B$2*_xlfn.STDEV.S(Macro!D$2:D$42)</f>
        <v>0.85055166818007122</v>
      </c>
      <c r="F22">
        <f>$B$2*_xlfn.STDEV.S(Macro!E$2:E$42)</f>
        <v>511.90698586752904</v>
      </c>
      <c r="G22">
        <f>$B$2*_xlfn.STDEV.S(Macro!F$2:F$42)</f>
        <v>3.1692046655872046</v>
      </c>
      <c r="H22">
        <f>$B$2*_xlfn.STDEV.S(Macro!I$2:I$42)</f>
        <v>1.9611613513818404</v>
      </c>
      <c r="I22">
        <f>$B$2*_xlfn.STDEV.S(Macro!J$2:J$42)</f>
        <v>0.17714279699210081</v>
      </c>
    </row>
  </sheetData>
  <mergeCells count="2">
    <mergeCell ref="A4:G4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A9C0-5B3E-4E01-ADE7-D48E04462C58}">
  <dimension ref="A1:J42"/>
  <sheetViews>
    <sheetView topLeftCell="A27" workbookViewId="0">
      <selection activeCell="I42" sqref="I42"/>
    </sheetView>
  </sheetViews>
  <sheetFormatPr defaultRowHeight="14.25" x14ac:dyDescent="0.45"/>
  <cols>
    <col min="1" max="1" width="11.19921875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3</v>
      </c>
      <c r="H1" s="2" t="s">
        <v>9</v>
      </c>
      <c r="I1" s="2" t="s">
        <v>7</v>
      </c>
      <c r="J1" s="2" t="s">
        <v>8</v>
      </c>
    </row>
    <row r="2" spans="1:10" x14ac:dyDescent="0.45">
      <c r="A2" s="3">
        <v>41820</v>
      </c>
      <c r="B2" s="4">
        <v>217</v>
      </c>
      <c r="C2" s="2">
        <v>4.9400000000000004</v>
      </c>
      <c r="D2" s="2">
        <v>6.7</v>
      </c>
      <c r="E2" s="2">
        <v>11855</v>
      </c>
      <c r="F2" s="2">
        <v>85.750546677809965</v>
      </c>
      <c r="G2" s="5">
        <v>6.25</v>
      </c>
      <c r="H2" s="5"/>
      <c r="I2" s="2"/>
    </row>
    <row r="3" spans="1:10" x14ac:dyDescent="0.45">
      <c r="A3" s="3">
        <v>41912</v>
      </c>
      <c r="B3" s="4">
        <f t="shared" ref="B3:B37" si="0">B2+1</f>
        <v>218</v>
      </c>
      <c r="C3" s="2">
        <v>4.93</v>
      </c>
      <c r="D3" s="2">
        <v>4.53</v>
      </c>
      <c r="E3" s="2">
        <v>12182.5</v>
      </c>
      <c r="F3" s="2">
        <v>87.002504658088114</v>
      </c>
      <c r="G3" s="5">
        <v>6.25</v>
      </c>
      <c r="H3" s="5">
        <f t="shared" ref="H3:H42" si="1">G3-G2</f>
        <v>0</v>
      </c>
      <c r="I3" s="2">
        <f t="shared" ref="I3:I42" si="2">-H3*10</f>
        <v>0</v>
      </c>
      <c r="J3">
        <f t="shared" ref="J3:J42" si="3">F3-F2</f>
        <v>1.2519579802781493</v>
      </c>
    </row>
    <row r="4" spans="1:10" x14ac:dyDescent="0.45">
      <c r="A4" s="3">
        <v>42004</v>
      </c>
      <c r="B4" s="4">
        <f t="shared" si="0"/>
        <v>219</v>
      </c>
      <c r="C4" s="2">
        <v>5.05</v>
      </c>
      <c r="D4" s="2">
        <v>8.36</v>
      </c>
      <c r="E4" s="2">
        <v>12385</v>
      </c>
      <c r="F4" s="2">
        <v>88.342343228623307</v>
      </c>
      <c r="G4" s="5">
        <v>6.5</v>
      </c>
      <c r="H4" s="5">
        <f t="shared" si="1"/>
        <v>0.25</v>
      </c>
      <c r="I4" s="2">
        <f t="shared" si="2"/>
        <v>-2.5</v>
      </c>
      <c r="J4">
        <f t="shared" si="3"/>
        <v>1.3398385705351927</v>
      </c>
    </row>
    <row r="5" spans="1:10" x14ac:dyDescent="0.45">
      <c r="A5" s="3">
        <v>42094</v>
      </c>
      <c r="B5" s="4">
        <f t="shared" si="0"/>
        <v>220</v>
      </c>
      <c r="C5" s="2">
        <v>4.83</v>
      </c>
      <c r="D5" s="2">
        <v>6.38</v>
      </c>
      <c r="E5" s="2">
        <v>13075</v>
      </c>
      <c r="F5" s="2">
        <v>89.614472969605799</v>
      </c>
      <c r="G5" s="5">
        <v>6.25</v>
      </c>
      <c r="H5" s="5">
        <f t="shared" si="1"/>
        <v>-0.25</v>
      </c>
      <c r="I5" s="2">
        <f t="shared" si="2"/>
        <v>2.5</v>
      </c>
      <c r="J5">
        <f t="shared" si="3"/>
        <v>1.2721297409824928</v>
      </c>
    </row>
    <row r="6" spans="1:10" x14ac:dyDescent="0.45">
      <c r="A6" s="3">
        <v>42185</v>
      </c>
      <c r="B6" s="4">
        <f t="shared" si="0"/>
        <v>221</v>
      </c>
      <c r="C6" s="2">
        <v>4.74</v>
      </c>
      <c r="D6" s="2">
        <v>7.26</v>
      </c>
      <c r="E6" s="2">
        <v>13332.8</v>
      </c>
      <c r="F6" s="2">
        <v>90.851152700601801</v>
      </c>
      <c r="G6" s="5">
        <v>6.25</v>
      </c>
      <c r="H6" s="5">
        <f t="shared" si="1"/>
        <v>0</v>
      </c>
      <c r="I6" s="2">
        <f t="shared" si="2"/>
        <v>0</v>
      </c>
      <c r="J6">
        <f t="shared" si="3"/>
        <v>1.236679730996002</v>
      </c>
    </row>
    <row r="7" spans="1:10" x14ac:dyDescent="0.45">
      <c r="A7" s="3">
        <v>42277</v>
      </c>
      <c r="B7" s="4">
        <f t="shared" si="0"/>
        <v>222</v>
      </c>
      <c r="C7" s="2">
        <v>4.78</v>
      </c>
      <c r="D7" s="2">
        <v>6.83</v>
      </c>
      <c r="E7" s="2">
        <v>14651.3</v>
      </c>
      <c r="F7" s="2">
        <v>91.750579109754199</v>
      </c>
      <c r="G7" s="5">
        <v>6.25</v>
      </c>
      <c r="H7" s="5">
        <f t="shared" si="1"/>
        <v>0</v>
      </c>
      <c r="I7" s="2">
        <f t="shared" si="2"/>
        <v>0</v>
      </c>
      <c r="J7">
        <f t="shared" si="3"/>
        <v>0.89942640915239735</v>
      </c>
    </row>
    <row r="8" spans="1:10" x14ac:dyDescent="0.45">
      <c r="A8" s="3">
        <v>42369</v>
      </c>
      <c r="B8" s="4">
        <f t="shared" si="0"/>
        <v>223</v>
      </c>
      <c r="C8" s="2">
        <v>5.15</v>
      </c>
      <c r="D8" s="2">
        <v>3.35</v>
      </c>
      <c r="E8" s="2">
        <v>13787.5</v>
      </c>
      <c r="F8" s="2">
        <v>92.420358336114873</v>
      </c>
      <c r="G8" s="5">
        <v>6.25</v>
      </c>
      <c r="H8" s="5">
        <f t="shared" si="1"/>
        <v>0</v>
      </c>
      <c r="I8" s="2">
        <f t="shared" si="2"/>
        <v>0</v>
      </c>
      <c r="J8">
        <f t="shared" si="3"/>
        <v>0.66977922636067433</v>
      </c>
    </row>
    <row r="9" spans="1:10" x14ac:dyDescent="0.45">
      <c r="A9" s="3">
        <v>42460</v>
      </c>
      <c r="B9" s="4">
        <f t="shared" si="0"/>
        <v>224</v>
      </c>
      <c r="C9" s="2">
        <v>4.9400000000000004</v>
      </c>
      <c r="D9" s="2">
        <v>4.45</v>
      </c>
      <c r="E9" s="2">
        <v>13260</v>
      </c>
      <c r="F9" s="2">
        <v>93.335319883508177</v>
      </c>
      <c r="G9" s="5">
        <v>5.5</v>
      </c>
      <c r="H9" s="5">
        <f t="shared" si="1"/>
        <v>-0.75</v>
      </c>
      <c r="I9" s="2">
        <f t="shared" si="2"/>
        <v>7.5</v>
      </c>
      <c r="J9">
        <f t="shared" si="3"/>
        <v>0.91496154739330393</v>
      </c>
    </row>
    <row r="10" spans="1:10" x14ac:dyDescent="0.45">
      <c r="A10" s="3">
        <v>42551</v>
      </c>
      <c r="B10" s="4">
        <f t="shared" si="0"/>
        <v>225</v>
      </c>
      <c r="C10" s="2">
        <v>5.21</v>
      </c>
      <c r="D10" s="2">
        <v>3.45</v>
      </c>
      <c r="E10" s="2">
        <v>13220</v>
      </c>
      <c r="F10" s="2">
        <v>93.932665931961026</v>
      </c>
      <c r="G10" s="5">
        <v>5.25</v>
      </c>
      <c r="H10" s="5">
        <f t="shared" si="1"/>
        <v>-0.25</v>
      </c>
      <c r="I10" s="2">
        <f t="shared" si="2"/>
        <v>2.5</v>
      </c>
      <c r="J10">
        <f t="shared" si="3"/>
        <v>0.59734604845284878</v>
      </c>
    </row>
    <row r="11" spans="1:10" x14ac:dyDescent="0.45">
      <c r="A11" s="3">
        <v>42643</v>
      </c>
      <c r="B11" s="4">
        <f t="shared" si="0"/>
        <v>226</v>
      </c>
      <c r="C11" s="2">
        <v>5.03</v>
      </c>
      <c r="D11" s="2">
        <v>3.07</v>
      </c>
      <c r="E11" s="2">
        <v>13051</v>
      </c>
      <c r="F11" s="2">
        <v>94.270823530370535</v>
      </c>
      <c r="G11" s="5">
        <v>4.75</v>
      </c>
      <c r="H11" s="5">
        <f t="shared" si="1"/>
        <v>-0.5</v>
      </c>
      <c r="I11" s="2">
        <f t="shared" si="2"/>
        <v>5</v>
      </c>
      <c r="J11">
        <f t="shared" si="3"/>
        <v>0.33815759840950932</v>
      </c>
    </row>
    <row r="12" spans="1:10" x14ac:dyDescent="0.45">
      <c r="A12" s="3">
        <v>42735</v>
      </c>
      <c r="B12" s="4">
        <f t="shared" si="0"/>
        <v>227</v>
      </c>
      <c r="C12" s="2">
        <v>4.9400000000000004</v>
      </c>
      <c r="D12" s="2">
        <v>3.02</v>
      </c>
      <c r="E12" s="2">
        <v>13472.5</v>
      </c>
      <c r="F12" s="2">
        <v>94.619625576523404</v>
      </c>
      <c r="G12" s="5">
        <v>4.75</v>
      </c>
      <c r="H12" s="5">
        <f t="shared" si="1"/>
        <v>0</v>
      </c>
      <c r="I12" s="2">
        <f t="shared" si="2"/>
        <v>0</v>
      </c>
      <c r="J12">
        <f t="shared" si="3"/>
        <v>0.34880204615286914</v>
      </c>
    </row>
    <row r="13" spans="1:10" x14ac:dyDescent="0.45">
      <c r="A13" s="3">
        <v>42825</v>
      </c>
      <c r="B13" s="4">
        <f t="shared" si="0"/>
        <v>228</v>
      </c>
      <c r="C13" s="2">
        <v>5.01</v>
      </c>
      <c r="D13" s="2">
        <v>3.61</v>
      </c>
      <c r="E13" s="2">
        <v>13325.5</v>
      </c>
      <c r="F13" s="2">
        <v>95.783446972499817</v>
      </c>
      <c r="G13" s="5">
        <v>4.75</v>
      </c>
      <c r="H13" s="5">
        <f t="shared" si="1"/>
        <v>0</v>
      </c>
      <c r="I13" s="2">
        <f t="shared" si="2"/>
        <v>0</v>
      </c>
      <c r="J13">
        <f t="shared" si="3"/>
        <v>1.163821395976413</v>
      </c>
    </row>
    <row r="14" spans="1:10" x14ac:dyDescent="0.45">
      <c r="A14" s="3">
        <v>42916</v>
      </c>
      <c r="B14" s="4">
        <f t="shared" si="0"/>
        <v>229</v>
      </c>
      <c r="C14" s="2">
        <v>5.01</v>
      </c>
      <c r="D14" s="2">
        <v>4.37</v>
      </c>
      <c r="E14" s="2">
        <v>13327.5</v>
      </c>
      <c r="F14" s="2">
        <v>96.913691646977639</v>
      </c>
      <c r="G14" s="5">
        <v>4.75</v>
      </c>
      <c r="H14" s="5">
        <f t="shared" si="1"/>
        <v>0</v>
      </c>
      <c r="I14" s="2">
        <f t="shared" si="2"/>
        <v>0</v>
      </c>
      <c r="J14">
        <f t="shared" si="3"/>
        <v>1.1302446744778223</v>
      </c>
    </row>
    <row r="15" spans="1:10" x14ac:dyDescent="0.45">
      <c r="A15" s="3">
        <v>43008</v>
      </c>
      <c r="B15" s="4">
        <f t="shared" si="0"/>
        <v>230</v>
      </c>
      <c r="C15" s="2">
        <v>5.0599999999999996</v>
      </c>
      <c r="D15" s="2">
        <v>3.72</v>
      </c>
      <c r="E15" s="2">
        <v>13471.5</v>
      </c>
      <c r="F15" s="2">
        <v>97.398260106063674</v>
      </c>
      <c r="G15" s="5">
        <v>4.25</v>
      </c>
      <c r="H15" s="5">
        <f t="shared" si="1"/>
        <v>-0.5</v>
      </c>
      <c r="I15" s="2">
        <f t="shared" si="2"/>
        <v>5</v>
      </c>
      <c r="J15">
        <f t="shared" si="3"/>
        <v>0.48456845908603441</v>
      </c>
    </row>
    <row r="16" spans="1:10" x14ac:dyDescent="0.45">
      <c r="A16" s="3">
        <v>43100</v>
      </c>
      <c r="B16" s="4">
        <f t="shared" si="0"/>
        <v>231</v>
      </c>
      <c r="C16" s="2">
        <v>5.19</v>
      </c>
      <c r="D16" s="2">
        <v>3.61</v>
      </c>
      <c r="E16" s="2">
        <v>13567.5</v>
      </c>
      <c r="F16" s="2">
        <v>97.933950533084385</v>
      </c>
      <c r="G16" s="5">
        <v>4.25</v>
      </c>
      <c r="H16" s="5">
        <f t="shared" si="1"/>
        <v>0</v>
      </c>
      <c r="I16" s="2">
        <f t="shared" si="2"/>
        <v>0</v>
      </c>
      <c r="J16">
        <f t="shared" si="3"/>
        <v>0.53569042702071101</v>
      </c>
    </row>
    <row r="17" spans="1:10" x14ac:dyDescent="0.45">
      <c r="A17" s="3">
        <v>43190</v>
      </c>
      <c r="B17" s="4">
        <f t="shared" si="0"/>
        <v>232</v>
      </c>
      <c r="C17" s="2">
        <v>5.07</v>
      </c>
      <c r="D17" s="2">
        <v>3.4</v>
      </c>
      <c r="E17" s="2">
        <v>13767.5</v>
      </c>
      <c r="F17" s="2">
        <v>99.320836279999995</v>
      </c>
      <c r="G17" s="5">
        <v>4.25</v>
      </c>
      <c r="H17" s="5">
        <f t="shared" si="1"/>
        <v>0</v>
      </c>
      <c r="I17" s="2">
        <f t="shared" si="2"/>
        <v>0</v>
      </c>
      <c r="J17">
        <f t="shared" si="3"/>
        <v>1.3868857469156097</v>
      </c>
    </row>
    <row r="18" spans="1:10" x14ac:dyDescent="0.45">
      <c r="A18" s="3">
        <v>43281</v>
      </c>
      <c r="B18" s="4">
        <f t="shared" si="0"/>
        <v>233</v>
      </c>
      <c r="C18" s="2">
        <v>5.27</v>
      </c>
      <c r="D18" s="2">
        <v>3.12</v>
      </c>
      <c r="E18" s="2">
        <v>14330</v>
      </c>
      <c r="F18" s="2">
        <v>99.900196460000004</v>
      </c>
      <c r="G18" s="5">
        <v>5.25</v>
      </c>
      <c r="H18" s="5">
        <f t="shared" si="1"/>
        <v>1</v>
      </c>
      <c r="I18" s="2">
        <f t="shared" si="2"/>
        <v>-10</v>
      </c>
      <c r="J18">
        <f t="shared" si="3"/>
        <v>0.579360180000009</v>
      </c>
    </row>
    <row r="19" spans="1:10" x14ac:dyDescent="0.45">
      <c r="A19" s="3">
        <v>43373</v>
      </c>
      <c r="B19" s="4">
        <f t="shared" si="0"/>
        <v>234</v>
      </c>
      <c r="C19" s="2">
        <v>5.17</v>
      </c>
      <c r="D19" s="2">
        <v>2.88</v>
      </c>
      <c r="E19" s="2">
        <v>14902.5</v>
      </c>
      <c r="F19" s="2">
        <v>100.21037908</v>
      </c>
      <c r="G19" s="5">
        <v>5.75</v>
      </c>
      <c r="H19" s="5">
        <f t="shared" si="1"/>
        <v>0.5</v>
      </c>
      <c r="I19" s="2">
        <f t="shared" si="2"/>
        <v>-5</v>
      </c>
      <c r="J19">
        <f t="shared" si="3"/>
        <v>0.31018261999999197</v>
      </c>
    </row>
    <row r="20" spans="1:10" x14ac:dyDescent="0.45">
      <c r="A20" s="3">
        <v>43465</v>
      </c>
      <c r="B20" s="4">
        <f t="shared" si="0"/>
        <v>235</v>
      </c>
      <c r="C20" s="2">
        <v>5.18</v>
      </c>
      <c r="D20" s="2">
        <v>3.13</v>
      </c>
      <c r="E20" s="2">
        <v>14390</v>
      </c>
      <c r="F20" s="2">
        <v>100.56858818000001</v>
      </c>
      <c r="G20" s="5">
        <v>6</v>
      </c>
      <c r="H20" s="5">
        <f t="shared" si="1"/>
        <v>0.25</v>
      </c>
      <c r="I20" s="2">
        <f t="shared" si="2"/>
        <v>-2.5</v>
      </c>
      <c r="J20">
        <f t="shared" si="3"/>
        <v>0.35820910000001049</v>
      </c>
    </row>
    <row r="21" spans="1:10" x14ac:dyDescent="0.45">
      <c r="A21" s="3">
        <v>43555</v>
      </c>
      <c r="B21" s="4">
        <f t="shared" si="0"/>
        <v>236</v>
      </c>
      <c r="C21" s="2">
        <v>5.0599999999999996</v>
      </c>
      <c r="D21" s="2">
        <v>2.5299999999999998</v>
      </c>
      <c r="E21" s="2">
        <v>14240.5</v>
      </c>
      <c r="F21" s="2">
        <v>100.94468224000001</v>
      </c>
      <c r="G21" s="5">
        <v>6</v>
      </c>
      <c r="H21" s="5">
        <f t="shared" si="1"/>
        <v>0</v>
      </c>
      <c r="I21" s="2">
        <f t="shared" si="2"/>
        <v>0</v>
      </c>
      <c r="J21">
        <f t="shared" si="3"/>
        <v>0.37609405999999979</v>
      </c>
    </row>
    <row r="22" spans="1:10" x14ac:dyDescent="0.45">
      <c r="A22" s="3">
        <v>43646</v>
      </c>
      <c r="B22" s="4">
        <f t="shared" si="0"/>
        <v>237</v>
      </c>
      <c r="C22" s="2">
        <v>5.05</v>
      </c>
      <c r="D22" s="2">
        <v>2.84</v>
      </c>
      <c r="E22" s="2">
        <v>14127.5</v>
      </c>
      <c r="F22" s="2">
        <v>101.15894717</v>
      </c>
      <c r="G22" s="5">
        <v>6</v>
      </c>
      <c r="H22" s="5">
        <f t="shared" si="1"/>
        <v>0</v>
      </c>
      <c r="I22" s="2">
        <f t="shared" si="2"/>
        <v>0</v>
      </c>
      <c r="J22">
        <f t="shared" si="3"/>
        <v>0.2142649299999988</v>
      </c>
    </row>
    <row r="23" spans="1:10" x14ac:dyDescent="0.45">
      <c r="A23" s="3">
        <v>43738</v>
      </c>
      <c r="B23" s="4">
        <f t="shared" si="0"/>
        <v>238</v>
      </c>
      <c r="C23" s="2">
        <v>5.01</v>
      </c>
      <c r="D23" s="2">
        <v>3.12</v>
      </c>
      <c r="E23" s="2">
        <v>14195</v>
      </c>
      <c r="F23" s="2">
        <v>101.46495437</v>
      </c>
      <c r="G23" s="5">
        <v>5.25</v>
      </c>
      <c r="H23" s="5">
        <f t="shared" si="1"/>
        <v>-0.75</v>
      </c>
      <c r="I23" s="2">
        <f t="shared" si="2"/>
        <v>7.5</v>
      </c>
      <c r="J23">
        <f t="shared" si="3"/>
        <v>0.30600719999999626</v>
      </c>
    </row>
    <row r="24" spans="1:10" x14ac:dyDescent="0.45">
      <c r="A24" s="3">
        <v>43830</v>
      </c>
      <c r="B24" s="4">
        <f t="shared" si="0"/>
        <v>239</v>
      </c>
      <c r="C24" s="2">
        <v>4.96</v>
      </c>
      <c r="D24" s="2">
        <v>2.59</v>
      </c>
      <c r="E24" s="2">
        <v>13865.5</v>
      </c>
      <c r="F24" s="2">
        <v>101.81631125</v>
      </c>
      <c r="G24" s="5">
        <v>5</v>
      </c>
      <c r="H24" s="5">
        <f t="shared" si="1"/>
        <v>-0.25</v>
      </c>
      <c r="I24" s="2">
        <f t="shared" si="2"/>
        <v>2.5</v>
      </c>
      <c r="J24">
        <f t="shared" si="3"/>
        <v>0.35135687999999732</v>
      </c>
    </row>
    <row r="25" spans="1:10" x14ac:dyDescent="0.45">
      <c r="A25" s="3">
        <v>43921</v>
      </c>
      <c r="B25" s="4">
        <f t="shared" si="0"/>
        <v>240</v>
      </c>
      <c r="C25" s="2">
        <v>2.97</v>
      </c>
      <c r="D25" s="2">
        <v>2.96</v>
      </c>
      <c r="E25" s="2">
        <v>16310</v>
      </c>
      <c r="F25" s="2">
        <v>102.25589854</v>
      </c>
      <c r="G25" s="5">
        <v>4.5</v>
      </c>
      <c r="H25" s="5">
        <f t="shared" si="1"/>
        <v>-0.5</v>
      </c>
      <c r="I25" s="2">
        <f t="shared" si="2"/>
        <v>5</v>
      </c>
      <c r="J25">
        <f t="shared" si="3"/>
        <v>0.43958729000000574</v>
      </c>
    </row>
    <row r="26" spans="1:10" x14ac:dyDescent="0.45">
      <c r="A26" s="3">
        <v>44012</v>
      </c>
      <c r="B26" s="4">
        <f t="shared" si="0"/>
        <v>241</v>
      </c>
      <c r="C26" s="2">
        <v>-5.32</v>
      </c>
      <c r="D26" s="2">
        <v>1.96</v>
      </c>
      <c r="E26" s="2">
        <v>14265</v>
      </c>
      <c r="F26" s="2">
        <v>102.53799170000001</v>
      </c>
      <c r="G26" s="5">
        <v>4.25</v>
      </c>
      <c r="H26" s="5">
        <f t="shared" si="1"/>
        <v>-0.25</v>
      </c>
      <c r="I26" s="2">
        <f t="shared" si="2"/>
        <v>2.5</v>
      </c>
      <c r="J26">
        <f t="shared" si="3"/>
        <v>0.28209316000000229</v>
      </c>
    </row>
    <row r="27" spans="1:10" x14ac:dyDescent="0.45">
      <c r="A27" s="3">
        <v>44104</v>
      </c>
      <c r="B27" s="4">
        <f t="shared" si="0"/>
        <v>242</v>
      </c>
      <c r="C27" s="2">
        <v>-3.49</v>
      </c>
      <c r="D27" s="2">
        <v>1.42</v>
      </c>
      <c r="E27" s="2">
        <v>14880</v>
      </c>
      <c r="F27" s="2">
        <v>102.73573463</v>
      </c>
      <c r="G27" s="5">
        <v>4</v>
      </c>
      <c r="H27" s="5">
        <f t="shared" si="1"/>
        <v>-0.25</v>
      </c>
      <c r="I27" s="2">
        <f t="shared" si="2"/>
        <v>2.5</v>
      </c>
      <c r="J27">
        <f t="shared" si="3"/>
        <v>0.19774292999998977</v>
      </c>
    </row>
    <row r="28" spans="1:10" x14ac:dyDescent="0.45">
      <c r="A28" s="3">
        <v>44196</v>
      </c>
      <c r="B28" s="4">
        <f t="shared" si="0"/>
        <v>243</v>
      </c>
      <c r="C28" s="2">
        <v>-2.17</v>
      </c>
      <c r="D28" s="2">
        <v>1.68</v>
      </c>
      <c r="E28" s="2">
        <v>14050</v>
      </c>
      <c r="F28" s="2">
        <v>102.98548804000001</v>
      </c>
      <c r="G28" s="5">
        <v>3.75</v>
      </c>
      <c r="H28" s="5">
        <f t="shared" si="1"/>
        <v>-0.25</v>
      </c>
      <c r="I28" s="2">
        <f t="shared" si="2"/>
        <v>2.5</v>
      </c>
      <c r="J28">
        <f t="shared" si="3"/>
        <v>0.24975341000001094</v>
      </c>
    </row>
    <row r="29" spans="1:10" x14ac:dyDescent="0.45">
      <c r="A29" s="3">
        <v>44286</v>
      </c>
      <c r="B29" s="4">
        <f t="shared" si="0"/>
        <v>244</v>
      </c>
      <c r="C29" s="2">
        <v>-0.69</v>
      </c>
      <c r="D29" s="2">
        <v>1.37</v>
      </c>
      <c r="E29" s="2">
        <v>14525</v>
      </c>
      <c r="F29" s="2">
        <v>103.24159856</v>
      </c>
      <c r="G29" s="5">
        <v>3.5000000000000004</v>
      </c>
      <c r="H29" s="5">
        <f t="shared" si="1"/>
        <v>-0.24999999999999956</v>
      </c>
      <c r="I29" s="2">
        <f t="shared" si="2"/>
        <v>2.4999999999999956</v>
      </c>
      <c r="J29">
        <f t="shared" si="3"/>
        <v>0.2561105199999929</v>
      </c>
    </row>
    <row r="30" spans="1:10" x14ac:dyDescent="0.45">
      <c r="A30" s="3">
        <v>44377</v>
      </c>
      <c r="B30" s="4">
        <f t="shared" si="0"/>
        <v>245</v>
      </c>
      <c r="C30" s="2">
        <v>7.08</v>
      </c>
      <c r="D30" s="2">
        <v>1.33</v>
      </c>
      <c r="E30" s="2">
        <v>14500</v>
      </c>
      <c r="F30" s="2">
        <v>103.5186262</v>
      </c>
      <c r="G30" s="5">
        <v>3.5000000000000004</v>
      </c>
      <c r="H30" s="5">
        <f t="shared" si="1"/>
        <v>0</v>
      </c>
      <c r="I30" s="2">
        <f t="shared" si="2"/>
        <v>0</v>
      </c>
      <c r="J30">
        <f t="shared" si="3"/>
        <v>0.27702764000000002</v>
      </c>
    </row>
    <row r="31" spans="1:10" x14ac:dyDescent="0.45">
      <c r="A31" s="3">
        <v>44469</v>
      </c>
      <c r="B31" s="4">
        <f t="shared" si="0"/>
        <v>246</v>
      </c>
      <c r="C31" s="2">
        <v>3.53</v>
      </c>
      <c r="D31" s="2">
        <v>1.6</v>
      </c>
      <c r="E31" s="2">
        <v>14312.5</v>
      </c>
      <c r="F31" s="2">
        <v>103.79016865</v>
      </c>
      <c r="G31" s="5">
        <v>3.5000000000000004</v>
      </c>
      <c r="H31" s="5">
        <f t="shared" si="1"/>
        <v>0</v>
      </c>
      <c r="I31" s="2">
        <f t="shared" si="2"/>
        <v>0</v>
      </c>
      <c r="J31">
        <f t="shared" si="3"/>
        <v>0.27154244999999833</v>
      </c>
    </row>
    <row r="32" spans="1:10" x14ac:dyDescent="0.45">
      <c r="A32" s="3">
        <v>44561</v>
      </c>
      <c r="B32" s="4">
        <f t="shared" si="0"/>
        <v>247</v>
      </c>
      <c r="C32" s="2">
        <v>5.03</v>
      </c>
      <c r="D32" s="2">
        <v>1.87</v>
      </c>
      <c r="E32" s="2">
        <v>14252.5</v>
      </c>
      <c r="F32" s="2">
        <v>104.21266866000001</v>
      </c>
      <c r="G32" s="5">
        <v>3.5000000000000004</v>
      </c>
      <c r="H32" s="5">
        <f t="shared" si="1"/>
        <v>0</v>
      </c>
      <c r="I32" s="2">
        <f t="shared" si="2"/>
        <v>0</v>
      </c>
      <c r="J32">
        <f t="shared" si="3"/>
        <v>0.42250001000000736</v>
      </c>
    </row>
    <row r="33" spans="1:10" x14ac:dyDescent="0.45">
      <c r="A33" s="3">
        <v>44651</v>
      </c>
      <c r="B33" s="4">
        <f t="shared" si="0"/>
        <v>248</v>
      </c>
      <c r="C33" s="2">
        <v>5.0199999999999996</v>
      </c>
      <c r="D33" s="2">
        <v>2.64</v>
      </c>
      <c r="E33" s="2">
        <v>14369</v>
      </c>
      <c r="F33" s="2">
        <v>104.8654232</v>
      </c>
      <c r="G33" s="5">
        <v>3.5000000000000004</v>
      </c>
      <c r="H33" s="5">
        <f t="shared" si="1"/>
        <v>0</v>
      </c>
      <c r="I33" s="2">
        <f t="shared" si="2"/>
        <v>0</v>
      </c>
      <c r="J33">
        <f t="shared" si="3"/>
        <v>0.65275453999998945</v>
      </c>
    </row>
    <row r="34" spans="1:10" x14ac:dyDescent="0.45">
      <c r="A34" s="3">
        <v>44742</v>
      </c>
      <c r="B34" s="4">
        <f t="shared" si="0"/>
        <v>249</v>
      </c>
      <c r="C34" s="2">
        <v>5.46</v>
      </c>
      <c r="D34" s="2">
        <v>4.3499999999999996</v>
      </c>
      <c r="E34" s="2">
        <v>14897.5</v>
      </c>
      <c r="F34" s="2">
        <v>105.23393772</v>
      </c>
      <c r="G34" s="5">
        <v>3.5000000000000004</v>
      </c>
      <c r="H34" s="5">
        <f t="shared" si="1"/>
        <v>0</v>
      </c>
      <c r="I34" s="2">
        <f t="shared" si="2"/>
        <v>0</v>
      </c>
      <c r="J34">
        <f t="shared" si="3"/>
        <v>0.36851452000000506</v>
      </c>
    </row>
    <row r="35" spans="1:10" x14ac:dyDescent="0.45">
      <c r="A35" s="3">
        <v>44834</v>
      </c>
      <c r="B35" s="4">
        <f t="shared" si="0"/>
        <v>250</v>
      </c>
      <c r="C35" s="2">
        <v>5.73</v>
      </c>
      <c r="D35" s="2">
        <v>5.95</v>
      </c>
      <c r="E35" s="2">
        <v>15227.5</v>
      </c>
      <c r="F35" s="2">
        <v>105.80164476</v>
      </c>
      <c r="G35" s="5">
        <v>4.25</v>
      </c>
      <c r="H35" s="5">
        <f t="shared" si="1"/>
        <v>0.74999999999999956</v>
      </c>
      <c r="I35" s="2">
        <f t="shared" si="2"/>
        <v>-7.4999999999999956</v>
      </c>
      <c r="J35">
        <f t="shared" si="3"/>
        <v>0.56770704000000194</v>
      </c>
    </row>
    <row r="36" spans="1:10" x14ac:dyDescent="0.45">
      <c r="A36" s="3">
        <v>44926</v>
      </c>
      <c r="B36" s="4">
        <f t="shared" si="0"/>
        <v>251</v>
      </c>
      <c r="C36" s="2">
        <v>5.01</v>
      </c>
      <c r="D36" s="2">
        <v>5.51</v>
      </c>
      <c r="E36" s="2">
        <v>15567.5</v>
      </c>
      <c r="F36" s="2">
        <v>106.29707657</v>
      </c>
      <c r="G36" s="5">
        <v>5.5</v>
      </c>
      <c r="H36" s="5">
        <f t="shared" si="1"/>
        <v>1.25</v>
      </c>
      <c r="I36" s="2">
        <f t="shared" si="2"/>
        <v>-12.5</v>
      </c>
      <c r="J36">
        <f t="shared" si="3"/>
        <v>0.49543180999999947</v>
      </c>
    </row>
    <row r="37" spans="1:10" x14ac:dyDescent="0.45">
      <c r="A37" s="3">
        <v>45016</v>
      </c>
      <c r="B37" s="4">
        <f t="shared" si="0"/>
        <v>252</v>
      </c>
      <c r="C37" s="2">
        <v>5.03</v>
      </c>
      <c r="D37" s="2">
        <v>4.97</v>
      </c>
      <c r="E37" s="2">
        <v>14994.5</v>
      </c>
      <c r="F37" s="2">
        <v>106.74719684</v>
      </c>
      <c r="G37" s="5">
        <v>5.75</v>
      </c>
      <c r="H37" s="5">
        <f t="shared" si="1"/>
        <v>0.25</v>
      </c>
      <c r="I37" s="2">
        <f t="shared" si="2"/>
        <v>-2.5</v>
      </c>
      <c r="J37">
        <f t="shared" si="3"/>
        <v>0.45012026999999932</v>
      </c>
    </row>
    <row r="38" spans="1:10" x14ac:dyDescent="0.45">
      <c r="A38" s="3">
        <v>45107</v>
      </c>
      <c r="B38" s="4">
        <v>253</v>
      </c>
      <c r="C38" s="2">
        <v>5.17</v>
      </c>
      <c r="D38" s="2">
        <v>3.52</v>
      </c>
      <c r="E38" s="2">
        <v>14869.85732026</v>
      </c>
      <c r="F38" s="2">
        <v>107.26</v>
      </c>
      <c r="G38" s="5">
        <v>5.75</v>
      </c>
      <c r="H38" s="5">
        <f t="shared" si="1"/>
        <v>0</v>
      </c>
      <c r="I38" s="2">
        <f t="shared" si="2"/>
        <v>0</v>
      </c>
      <c r="J38">
        <f t="shared" si="3"/>
        <v>0.51280316000000425</v>
      </c>
    </row>
    <row r="39" spans="1:10" x14ac:dyDescent="0.45">
      <c r="A39" s="3">
        <v>45199</v>
      </c>
      <c r="B39" s="4">
        <v>254</v>
      </c>
      <c r="C39" s="2">
        <v>4.9400000000000004</v>
      </c>
      <c r="D39" s="2">
        <v>2.2799999999999998</v>
      </c>
      <c r="E39" s="2">
        <v>15213.028863636666</v>
      </c>
      <c r="F39" s="2">
        <v>107.87266320000001</v>
      </c>
      <c r="G39" s="5">
        <v>6</v>
      </c>
      <c r="H39" s="5">
        <f t="shared" si="1"/>
        <v>0.25</v>
      </c>
      <c r="I39" s="2">
        <f t="shared" si="2"/>
        <v>-2.5</v>
      </c>
      <c r="J39">
        <f t="shared" si="3"/>
        <v>0.61266320000000007</v>
      </c>
    </row>
    <row r="40" spans="1:10" x14ac:dyDescent="0.45">
      <c r="A40" s="3">
        <v>45291</v>
      </c>
      <c r="B40" s="4">
        <v>255</v>
      </c>
      <c r="C40" s="2">
        <v>5.04</v>
      </c>
      <c r="D40" s="2">
        <v>2.81</v>
      </c>
      <c r="E40" s="2">
        <v>15629.27</v>
      </c>
      <c r="F40" s="2">
        <v>108.14740507</v>
      </c>
      <c r="G40" s="5">
        <v>6</v>
      </c>
      <c r="H40" s="5">
        <f t="shared" si="1"/>
        <v>0</v>
      </c>
      <c r="I40" s="2">
        <f t="shared" si="2"/>
        <v>0</v>
      </c>
      <c r="J40">
        <f t="shared" si="3"/>
        <v>0.27474186999999972</v>
      </c>
    </row>
    <row r="41" spans="1:10" x14ac:dyDescent="0.45">
      <c r="A41" s="3">
        <v>45382</v>
      </c>
      <c r="B41" s="4">
        <v>256</v>
      </c>
      <c r="C41" s="2">
        <v>5.1100000000000003</v>
      </c>
      <c r="D41" s="2">
        <v>3.05</v>
      </c>
      <c r="E41" s="2">
        <v>15656.22</v>
      </c>
      <c r="F41" s="2">
        <v>108.76071493000001</v>
      </c>
      <c r="G41" s="5">
        <v>6</v>
      </c>
      <c r="H41" s="5">
        <f t="shared" si="1"/>
        <v>0</v>
      </c>
      <c r="I41" s="2">
        <f t="shared" si="2"/>
        <v>0</v>
      </c>
      <c r="J41">
        <f t="shared" si="3"/>
        <v>0.61330986000000109</v>
      </c>
    </row>
    <row r="42" spans="1:10" x14ac:dyDescent="0.45">
      <c r="A42" s="1">
        <v>45473</v>
      </c>
      <c r="B42" s="4">
        <v>257</v>
      </c>
      <c r="C42">
        <v>5.05</v>
      </c>
      <c r="D42" s="2">
        <v>2.5099999999999998</v>
      </c>
      <c r="E42" s="2">
        <v>16394</v>
      </c>
      <c r="F42">
        <v>109.14657661</v>
      </c>
      <c r="G42">
        <v>6.25</v>
      </c>
      <c r="H42" s="6">
        <f t="shared" si="1"/>
        <v>0.25</v>
      </c>
      <c r="I42" s="2">
        <f t="shared" si="2"/>
        <v>-2.5</v>
      </c>
      <c r="J42">
        <f t="shared" si="3"/>
        <v>0.38586167999999077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261B-C9CE-4B99-BBE1-3127CE69A6D8}">
  <dimension ref="A1:I7"/>
  <sheetViews>
    <sheetView workbookViewId="0">
      <selection activeCell="G2" sqref="G2"/>
    </sheetView>
  </sheetViews>
  <sheetFormatPr defaultRowHeight="14.25" x14ac:dyDescent="0.45"/>
  <cols>
    <col min="1" max="1" width="11.06640625" customWidth="1"/>
  </cols>
  <sheetData>
    <row r="1" spans="1:9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9</v>
      </c>
      <c r="I1" t="s">
        <v>1</v>
      </c>
    </row>
    <row r="2" spans="1:9" x14ac:dyDescent="0.45">
      <c r="A2" s="3">
        <v>45565</v>
      </c>
      <c r="B2">
        <v>4.9000000000000004</v>
      </c>
      <c r="C2">
        <v>6</v>
      </c>
      <c r="D2">
        <v>2.8</v>
      </c>
      <c r="E2">
        <v>15834</v>
      </c>
      <c r="F2">
        <v>1.0900000000000034</v>
      </c>
      <c r="G2">
        <f t="shared" ref="G2:G7" si="0">-H2*10</f>
        <v>2.5</v>
      </c>
      <c r="H2">
        <f>C2-Macro!G42</f>
        <v>-0.25</v>
      </c>
      <c r="I2">
        <v>258</v>
      </c>
    </row>
    <row r="3" spans="1:9" x14ac:dyDescent="0.45">
      <c r="A3" s="3">
        <v>45657</v>
      </c>
      <c r="B3">
        <v>5</v>
      </c>
      <c r="C3">
        <v>6</v>
      </c>
      <c r="D3">
        <v>3.3</v>
      </c>
      <c r="E3">
        <v>15662</v>
      </c>
      <c r="F3">
        <v>0.76238538730677774</v>
      </c>
      <c r="G3">
        <f t="shared" si="0"/>
        <v>0</v>
      </c>
      <c r="H3">
        <f>C3-C2</f>
        <v>0</v>
      </c>
      <c r="I3">
        <v>259</v>
      </c>
    </row>
    <row r="4" spans="1:9" x14ac:dyDescent="0.45">
      <c r="A4" s="3">
        <v>45747</v>
      </c>
      <c r="B4">
        <v>5</v>
      </c>
      <c r="C4">
        <v>5.75</v>
      </c>
      <c r="D4">
        <v>2.9</v>
      </c>
      <c r="E4">
        <v>15639</v>
      </c>
      <c r="F4">
        <v>0.43477077461355207</v>
      </c>
      <c r="G4">
        <f t="shared" si="0"/>
        <v>2.5</v>
      </c>
      <c r="H4">
        <f>C4-C3</f>
        <v>-0.25</v>
      </c>
      <c r="I4">
        <v>260</v>
      </c>
    </row>
    <row r="5" spans="1:9" x14ac:dyDescent="0.45">
      <c r="A5" s="3">
        <v>45838</v>
      </c>
      <c r="B5">
        <v>5.2</v>
      </c>
      <c r="C5">
        <v>5.25</v>
      </c>
      <c r="D5">
        <v>1.6</v>
      </c>
      <c r="E5">
        <v>15639</v>
      </c>
      <c r="F5">
        <v>0.24000000000000909</v>
      </c>
      <c r="G5">
        <f t="shared" si="0"/>
        <v>5</v>
      </c>
      <c r="H5">
        <f>C5-C4</f>
        <v>-0.5</v>
      </c>
      <c r="I5">
        <v>261</v>
      </c>
    </row>
    <row r="6" spans="1:9" x14ac:dyDescent="0.45">
      <c r="A6" s="3">
        <v>45930</v>
      </c>
      <c r="B6">
        <v>4.9000000000000004</v>
      </c>
      <c r="C6">
        <v>4.75</v>
      </c>
      <c r="D6">
        <v>2.7</v>
      </c>
      <c r="E6">
        <v>15639</v>
      </c>
      <c r="F6">
        <v>0.68999999999999773</v>
      </c>
      <c r="G6">
        <f t="shared" si="0"/>
        <v>5</v>
      </c>
      <c r="H6">
        <f t="shared" ref="H6:H7" si="1">C6-C5</f>
        <v>-0.5</v>
      </c>
      <c r="I6">
        <v>262</v>
      </c>
    </row>
    <row r="7" spans="1:9" x14ac:dyDescent="0.45">
      <c r="A7" s="3">
        <v>46022</v>
      </c>
      <c r="B7">
        <v>4.9000000000000004</v>
      </c>
      <c r="C7">
        <v>4</v>
      </c>
      <c r="D7">
        <v>3.1</v>
      </c>
      <c r="E7">
        <v>15639</v>
      </c>
      <c r="F7">
        <v>1.3600000000000136</v>
      </c>
      <c r="G7">
        <f t="shared" si="0"/>
        <v>7.5</v>
      </c>
      <c r="H7">
        <f t="shared" si="1"/>
        <v>-0.75</v>
      </c>
      <c r="I7">
        <v>263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524-F95C-44FA-8CCF-CDBA108E8470}">
  <dimension ref="A1:H7"/>
  <sheetViews>
    <sheetView workbookViewId="0">
      <selection activeCell="C3" sqref="C3"/>
    </sheetView>
  </sheetViews>
  <sheetFormatPr defaultRowHeight="14.25" x14ac:dyDescent="0.45"/>
  <cols>
    <col min="1" max="1" width="12.06640625" customWidth="1"/>
  </cols>
  <sheetData>
    <row r="1" spans="1:8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</row>
    <row r="2" spans="1:8" x14ac:dyDescent="0.45">
      <c r="A2" s="3">
        <v>45565</v>
      </c>
      <c r="B2">
        <f>Macro!C42-Haircut!C6</f>
        <v>4.4239129514372229</v>
      </c>
      <c r="C2">
        <v>6</v>
      </c>
      <c r="D2">
        <f>Macro!D42+Haircut!E7</f>
        <v>2.9352758340900356</v>
      </c>
      <c r="E2">
        <f>'Scenario 1'!E2+Haircut!F6</f>
        <v>16089.953492933764</v>
      </c>
      <c r="F2">
        <f>Macro!J42-Haircut!I7</f>
        <v>0.29729028150394038</v>
      </c>
      <c r="G2">
        <v>2.5</v>
      </c>
      <c r="H2">
        <v>258</v>
      </c>
    </row>
    <row r="3" spans="1:8" x14ac:dyDescent="0.45">
      <c r="A3" s="3">
        <v>45657</v>
      </c>
      <c r="B3">
        <f>B2-Haircut!C6</f>
        <v>3.7978259028744459</v>
      </c>
      <c r="C3">
        <f>C2-Haircut!D7</f>
        <v>5.7481490017790717</v>
      </c>
      <c r="D3">
        <f>D2+Haircut!E7</f>
        <v>3.3605516681800713</v>
      </c>
      <c r="E3">
        <f>E2+Haircut!F7</f>
        <v>16345.906985867528</v>
      </c>
      <c r="F3">
        <v>0.35999999999998522</v>
      </c>
      <c r="G3">
        <f>-(C3-C2)*10</f>
        <v>2.5185099822092827</v>
      </c>
      <c r="H3">
        <v>259</v>
      </c>
    </row>
    <row r="4" spans="1:8" x14ac:dyDescent="0.45">
      <c r="A4" s="3">
        <v>45747</v>
      </c>
      <c r="B4">
        <f>B3-Haircut!C7</f>
        <v>3.1717388543116689</v>
      </c>
      <c r="C4">
        <f>C3-Haircut!D8</f>
        <v>5.4962980035581435</v>
      </c>
      <c r="D4">
        <f>D3+Haircut!E8</f>
        <v>3.7858275022701071</v>
      </c>
      <c r="E4">
        <f>E3+Haircut!F8</f>
        <v>16601.860478801293</v>
      </c>
      <c r="F4">
        <v>0</v>
      </c>
      <c r="G4">
        <f t="shared" ref="G4:G7" si="0">-(C4-C3)*10</f>
        <v>2.5185099822092827</v>
      </c>
      <c r="H4">
        <v>260</v>
      </c>
    </row>
    <row r="5" spans="1:8" x14ac:dyDescent="0.45">
      <c r="A5" s="3">
        <v>45838</v>
      </c>
      <c r="B5">
        <f>B4-Haircut!C8</f>
        <v>2.5456518057488919</v>
      </c>
      <c r="C5">
        <f>C4-Haircut!D9</f>
        <v>5.2444470053372152</v>
      </c>
      <c r="D5">
        <f>D4+Haircut!E9</f>
        <v>4.2111033363601429</v>
      </c>
      <c r="E5">
        <f>E4+Haircut!F9</f>
        <v>16857.813971735057</v>
      </c>
      <c r="F5">
        <v>0.1071561619203264</v>
      </c>
      <c r="G5">
        <f t="shared" si="0"/>
        <v>2.5185099822092827</v>
      </c>
      <c r="H5">
        <v>261</v>
      </c>
    </row>
    <row r="6" spans="1:8" x14ac:dyDescent="0.45">
      <c r="A6" s="3">
        <v>45930</v>
      </c>
      <c r="B6">
        <f>'Scenario 2'!B5-Haircut!C9</f>
        <v>1.9195647571861152</v>
      </c>
      <c r="C6">
        <f>C5-Haircut!D10</f>
        <v>4.9925960071162869</v>
      </c>
      <c r="D6">
        <f>'Scenario 2'!D5+Haircut!E10</f>
        <v>4.6363791704501782</v>
      </c>
      <c r="E6">
        <f>'Scenario 2'!E5+Haircut!F10</f>
        <v>17113.767464668821</v>
      </c>
      <c r="F6">
        <v>-0.22045845077289927</v>
      </c>
      <c r="G6">
        <f t="shared" si="0"/>
        <v>2.5185099822092827</v>
      </c>
      <c r="H6">
        <v>262</v>
      </c>
    </row>
    <row r="7" spans="1:8" x14ac:dyDescent="0.45">
      <c r="A7" s="3">
        <v>46022</v>
      </c>
      <c r="B7">
        <f>B6-Haircut!C10</f>
        <v>1.2934777086233384</v>
      </c>
      <c r="C7">
        <f>C6-Haircut!D11</f>
        <v>4.7407450088953587</v>
      </c>
      <c r="D7">
        <f>D6+Haircut!E11</f>
        <v>5.0616550045402136</v>
      </c>
      <c r="E7">
        <f>E6+Haircut!F11</f>
        <v>17369.720957602585</v>
      </c>
      <c r="F7">
        <v>-0.54807306346612494</v>
      </c>
      <c r="G7">
        <f t="shared" si="0"/>
        <v>2.5185099822092827</v>
      </c>
      <c r="H7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041A-325D-43C8-A7A5-E082D9FDD9D5}">
  <dimension ref="A1:H7"/>
  <sheetViews>
    <sheetView tabSelected="1" workbookViewId="0">
      <selection activeCell="E14" sqref="D14:E14"/>
    </sheetView>
  </sheetViews>
  <sheetFormatPr defaultRowHeight="14.25" x14ac:dyDescent="0.45"/>
  <cols>
    <col min="1" max="1" width="12" customWidth="1"/>
  </cols>
  <sheetData>
    <row r="1" spans="1:8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</row>
    <row r="2" spans="1:8" x14ac:dyDescent="0.45">
      <c r="A2" s="3">
        <v>45565</v>
      </c>
      <c r="B2">
        <f>Macro!C42-Haircut!C16</f>
        <v>3.7978259028744463</v>
      </c>
      <c r="C2">
        <v>6</v>
      </c>
      <c r="D2">
        <f>Macro!D42+Haircut!E17</f>
        <v>3.3605516681800709</v>
      </c>
      <c r="E2">
        <f>'Scenario 1'!E2+Haircut!F16</f>
        <v>16345.906985867528</v>
      </c>
      <c r="F2">
        <f>Macro!J42-Haircut!I17</f>
        <v>0.20871888300788996</v>
      </c>
      <c r="G2">
        <v>2.5</v>
      </c>
      <c r="H2">
        <v>258</v>
      </c>
    </row>
    <row r="3" spans="1:8" x14ac:dyDescent="0.45">
      <c r="A3" s="3">
        <v>45657</v>
      </c>
      <c r="B3">
        <f>B2-Haircut!C18</f>
        <v>2.5456518057488928</v>
      </c>
      <c r="C3">
        <f>C2+Haircut!D8</f>
        <v>6.2518509982209283</v>
      </c>
      <c r="D3">
        <f>D2+Haircut!E17</f>
        <v>4.211103336360142</v>
      </c>
      <c r="E3">
        <f>E2+Haircut!F17</f>
        <v>16857.813971735057</v>
      </c>
      <c r="F3">
        <v>-1.3900000000000148</v>
      </c>
      <c r="G3">
        <f>-(C3-C2)*10</f>
        <v>-2.5185099822092827</v>
      </c>
      <c r="H3">
        <v>259</v>
      </c>
    </row>
    <row r="4" spans="1:8" x14ac:dyDescent="0.45">
      <c r="A4" s="3">
        <v>45747</v>
      </c>
      <c r="B4">
        <f>B3-Haircut!C19</f>
        <v>1.2934777086233393</v>
      </c>
      <c r="C4">
        <f>C3+Haircut!D9</f>
        <v>6.5037019964418565</v>
      </c>
      <c r="D4">
        <f>D3+Haircut!E18</f>
        <v>5.0616550045402136</v>
      </c>
      <c r="E4">
        <f>E3+Haircut!F18</f>
        <v>17369.720957602585</v>
      </c>
      <c r="F4">
        <v>-2.6500000000000057</v>
      </c>
      <c r="G4">
        <f>G3-Haircut!H18</f>
        <v>-4.4796713335911234</v>
      </c>
      <c r="H4">
        <v>260</v>
      </c>
    </row>
    <row r="5" spans="1:8" x14ac:dyDescent="0.45">
      <c r="A5" s="3">
        <v>45838</v>
      </c>
      <c r="B5">
        <f>B4-Haircut!C20</f>
        <v>4.130361149778583E-2</v>
      </c>
      <c r="C5">
        <f>C4+Haircut!D10</f>
        <v>6.7555529946627848</v>
      </c>
      <c r="D5">
        <f>D4+Haircut!E19</f>
        <v>5.9122066727202851</v>
      </c>
      <c r="E5">
        <f>E4+Haircut!F19</f>
        <v>17881.627943470114</v>
      </c>
      <c r="F5">
        <v>-2.5699999999999932</v>
      </c>
      <c r="G5">
        <f>G4-Haircut!H19</f>
        <v>-6.440832684972964</v>
      </c>
      <c r="H5">
        <v>261</v>
      </c>
    </row>
    <row r="6" spans="1:8" x14ac:dyDescent="0.45">
      <c r="A6" s="3">
        <v>45930</v>
      </c>
      <c r="B6">
        <f>'Scenario 3'!B5-Haircut!C21</f>
        <v>-1.2108704856277677</v>
      </c>
      <c r="C6">
        <f>'Scenario 3'!C5+Haircut!D11</f>
        <v>7.0074039928837131</v>
      </c>
      <c r="D6">
        <f>'Scenario 3'!D5+Haircut!E20</f>
        <v>6.7627583409003567</v>
      </c>
      <c r="E6">
        <f>'Scenario 3'!E5+Haircut!F20</f>
        <v>18393.534929337642</v>
      </c>
      <c r="F6">
        <v>-1.1200000000000045</v>
      </c>
      <c r="G6">
        <f>'Scenario 3'!G5-Haircut!H20</f>
        <v>-8.4019940363548038</v>
      </c>
      <c r="H6">
        <v>262</v>
      </c>
    </row>
    <row r="7" spans="1:8" x14ac:dyDescent="0.45">
      <c r="A7" s="3">
        <v>46022</v>
      </c>
      <c r="B7">
        <f>B6-Haircut!C22</f>
        <v>-2.4630445827533212</v>
      </c>
      <c r="C7">
        <f>C6+Haircut!D12</f>
        <v>7.2592549911046413</v>
      </c>
      <c r="D7">
        <f>D6+Haircut!E21</f>
        <v>7.6133100090804282</v>
      </c>
      <c r="E7">
        <f>E6+Haircut!F21</f>
        <v>18905.441915205171</v>
      </c>
      <c r="F7">
        <v>-0.61999999999997613</v>
      </c>
      <c r="G7">
        <f>G6-Haircut!H21</f>
        <v>-10.363155387736644</v>
      </c>
      <c r="H7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7026-AA14-4A3C-BA72-E499094D6A1D}">
  <dimension ref="A1:D34"/>
  <sheetViews>
    <sheetView topLeftCell="A17" workbookViewId="0">
      <selection activeCell="C23" sqref="C23"/>
    </sheetView>
  </sheetViews>
  <sheetFormatPr defaultRowHeight="14.25" x14ac:dyDescent="0.45"/>
  <sheetData>
    <row r="1" spans="1:4" x14ac:dyDescent="0.45">
      <c r="A1" t="s">
        <v>13</v>
      </c>
      <c r="B1" t="s">
        <v>14</v>
      </c>
      <c r="C1" t="s">
        <v>15</v>
      </c>
      <c r="D1" t="s">
        <v>16</v>
      </c>
    </row>
    <row r="2" spans="1:4" x14ac:dyDescent="0.45">
      <c r="A2" s="1" t="s">
        <v>17</v>
      </c>
      <c r="B2" s="6">
        <f>Macro!C42</f>
        <v>5.05</v>
      </c>
      <c r="C2" s="6">
        <f>Macro!C42</f>
        <v>5.05</v>
      </c>
      <c r="D2" s="6">
        <f>Macro!C42</f>
        <v>5.05</v>
      </c>
    </row>
    <row r="3" spans="1:4" x14ac:dyDescent="0.45">
      <c r="A3" s="1" t="s">
        <v>18</v>
      </c>
      <c r="B3" s="6">
        <f>'Scenario 1'!B2</f>
        <v>4.9000000000000004</v>
      </c>
      <c r="C3" s="6">
        <f>'Scenario 2'!B2</f>
        <v>4.4239129514372229</v>
      </c>
      <c r="D3" s="6">
        <f>'Scenario 3'!B2</f>
        <v>3.7978259028744463</v>
      </c>
    </row>
    <row r="4" spans="1:4" x14ac:dyDescent="0.45">
      <c r="A4" s="1" t="s">
        <v>19</v>
      </c>
      <c r="B4" s="6">
        <f>'Scenario 1'!B3</f>
        <v>5</v>
      </c>
      <c r="C4" s="6">
        <f>'Scenario 2'!B3</f>
        <v>3.7978259028744459</v>
      </c>
      <c r="D4" s="6">
        <f>'Scenario 3'!B3</f>
        <v>2.5456518057488928</v>
      </c>
    </row>
    <row r="5" spans="1:4" x14ac:dyDescent="0.45">
      <c r="A5" s="1" t="s">
        <v>20</v>
      </c>
      <c r="B5" s="6">
        <f>'Scenario 1'!B4</f>
        <v>5</v>
      </c>
      <c r="C5" s="6">
        <f>'Scenario 2'!B4</f>
        <v>3.1717388543116689</v>
      </c>
      <c r="D5" s="6">
        <f>'Scenario 3'!B4</f>
        <v>1.2934777086233393</v>
      </c>
    </row>
    <row r="6" spans="1:4" x14ac:dyDescent="0.45">
      <c r="A6" s="1" t="s">
        <v>24</v>
      </c>
      <c r="B6" s="6">
        <f>'Scenario 1'!B5</f>
        <v>5.2</v>
      </c>
      <c r="C6" s="6">
        <f>'Scenario 2'!B5</f>
        <v>2.5456518057488919</v>
      </c>
      <c r="D6" s="6">
        <f>'Scenario 3'!B5</f>
        <v>4.130361149778583E-2</v>
      </c>
    </row>
    <row r="8" spans="1:4" x14ac:dyDescent="0.45">
      <c r="A8" t="s">
        <v>21</v>
      </c>
      <c r="B8" t="s">
        <v>14</v>
      </c>
      <c r="C8" t="s">
        <v>15</v>
      </c>
      <c r="D8" t="s">
        <v>16</v>
      </c>
    </row>
    <row r="9" spans="1:4" x14ac:dyDescent="0.45">
      <c r="A9" s="1" t="s">
        <v>18</v>
      </c>
      <c r="B9" s="6">
        <f>'Scenario 1'!C2</f>
        <v>6</v>
      </c>
      <c r="C9" s="6">
        <f>'Scenario 2'!C2</f>
        <v>6</v>
      </c>
      <c r="D9" s="6">
        <f>'Scenario 3'!C2</f>
        <v>6</v>
      </c>
    </row>
    <row r="10" spans="1:4" x14ac:dyDescent="0.45">
      <c r="A10" s="1" t="s">
        <v>19</v>
      </c>
      <c r="B10" s="6">
        <f>'Scenario 1'!C3</f>
        <v>6</v>
      </c>
      <c r="C10" s="6">
        <f>'Scenario 2'!C3</f>
        <v>5.7481490017790717</v>
      </c>
      <c r="D10" s="6">
        <f>'Scenario 3'!C3</f>
        <v>6.2518509982209283</v>
      </c>
    </row>
    <row r="11" spans="1:4" x14ac:dyDescent="0.45">
      <c r="A11" s="1" t="s">
        <v>20</v>
      </c>
      <c r="B11" s="6">
        <f>'Scenario 1'!C4</f>
        <v>5.75</v>
      </c>
      <c r="C11" s="6">
        <f>'Scenario 2'!C4</f>
        <v>5.4962980035581435</v>
      </c>
      <c r="D11" s="6">
        <f>'Scenario 3'!C4</f>
        <v>6.5037019964418565</v>
      </c>
    </row>
    <row r="12" spans="1:4" x14ac:dyDescent="0.45">
      <c r="A12" s="1" t="s">
        <v>24</v>
      </c>
      <c r="B12" s="6">
        <f>'Scenario 1'!C5</f>
        <v>5.25</v>
      </c>
      <c r="C12" s="6">
        <f>'Scenario 2'!C5</f>
        <v>5.2444470053372152</v>
      </c>
      <c r="D12" s="6">
        <f>'Scenario 3'!C5</f>
        <v>6.7555529946627848</v>
      </c>
    </row>
    <row r="15" spans="1:4" x14ac:dyDescent="0.45">
      <c r="A15" t="s">
        <v>22</v>
      </c>
      <c r="B15" t="s">
        <v>14</v>
      </c>
      <c r="C15" t="s">
        <v>15</v>
      </c>
      <c r="D15" t="s">
        <v>16</v>
      </c>
    </row>
    <row r="16" spans="1:4" x14ac:dyDescent="0.45">
      <c r="A16" s="1" t="s">
        <v>17</v>
      </c>
      <c r="B16" s="6">
        <f>Macro!J42</f>
        <v>0.38586167999999077</v>
      </c>
      <c r="C16" s="6">
        <v>0.38586167999999077</v>
      </c>
      <c r="D16" s="6">
        <v>0.38586167999999077</v>
      </c>
    </row>
    <row r="17" spans="1:4" x14ac:dyDescent="0.45">
      <c r="A17" s="1" t="s">
        <v>18</v>
      </c>
      <c r="B17" s="6">
        <f>'Scenario 1'!F2</f>
        <v>1.0900000000000034</v>
      </c>
      <c r="C17" s="6">
        <f>'Scenario 2'!F2</f>
        <v>0.29729028150394038</v>
      </c>
      <c r="D17" s="6">
        <f>'Scenario 3'!F2</f>
        <v>0.20871888300788996</v>
      </c>
    </row>
    <row r="18" spans="1:4" x14ac:dyDescent="0.45">
      <c r="A18" s="1" t="s">
        <v>19</v>
      </c>
      <c r="B18" s="6">
        <f>'Scenario 1'!F3</f>
        <v>0.76238538730677774</v>
      </c>
      <c r="C18" s="6">
        <f>'Scenario 2'!F3</f>
        <v>0.35999999999998522</v>
      </c>
      <c r="D18" s="6">
        <f>'Scenario 3'!F3</f>
        <v>-1.3900000000000148</v>
      </c>
    </row>
    <row r="19" spans="1:4" x14ac:dyDescent="0.45">
      <c r="A19" s="1" t="s">
        <v>20</v>
      </c>
      <c r="B19" s="6">
        <f>'Scenario 1'!F4</f>
        <v>0.43477077461355207</v>
      </c>
      <c r="C19" s="6">
        <f>'Scenario 2'!F4</f>
        <v>0</v>
      </c>
      <c r="D19" s="6">
        <f>'Scenario 3'!F4</f>
        <v>-2.6500000000000057</v>
      </c>
    </row>
    <row r="20" spans="1:4" x14ac:dyDescent="0.45">
      <c r="A20" s="1" t="s">
        <v>24</v>
      </c>
      <c r="B20" s="6">
        <f>'Scenario 1'!F5</f>
        <v>0.24000000000000909</v>
      </c>
      <c r="C20" s="6">
        <f>'Scenario 2'!F5</f>
        <v>0.1071561619203264</v>
      </c>
      <c r="D20" s="6">
        <f>'Scenario 3'!F5</f>
        <v>-2.5699999999999932</v>
      </c>
    </row>
    <row r="22" spans="1:4" x14ac:dyDescent="0.45">
      <c r="A22" s="1" t="s">
        <v>23</v>
      </c>
      <c r="B22" t="s">
        <v>14</v>
      </c>
      <c r="C22" t="s">
        <v>15</v>
      </c>
      <c r="D22" t="s">
        <v>16</v>
      </c>
    </row>
    <row r="23" spans="1:4" x14ac:dyDescent="0.45">
      <c r="A23" s="1" t="s">
        <v>18</v>
      </c>
      <c r="B23" s="6">
        <f>'Scenario 1'!G2</f>
        <v>2.5</v>
      </c>
      <c r="C23" s="6">
        <f>'Scenario 2'!G2</f>
        <v>2.5</v>
      </c>
      <c r="D23" s="6">
        <f>'Scenario 3'!G2</f>
        <v>2.5</v>
      </c>
    </row>
    <row r="24" spans="1:4" x14ac:dyDescent="0.45">
      <c r="A24" s="1" t="s">
        <v>19</v>
      </c>
      <c r="B24" s="6">
        <f>'Scenario 1'!G3</f>
        <v>0</v>
      </c>
      <c r="C24" s="6">
        <f>'Scenario 2'!G3</f>
        <v>2.5185099822092827</v>
      </c>
      <c r="D24" s="6">
        <f>'Scenario 3'!G3</f>
        <v>-2.5185099822092827</v>
      </c>
    </row>
    <row r="25" spans="1:4" x14ac:dyDescent="0.45">
      <c r="A25" s="1" t="s">
        <v>20</v>
      </c>
      <c r="B25" s="6">
        <f>'Scenario 1'!G4</f>
        <v>2.5</v>
      </c>
      <c r="C25" s="6">
        <f>'Scenario 2'!G4</f>
        <v>2.5185099822092827</v>
      </c>
      <c r="D25" s="6">
        <f>'Scenario 3'!G4</f>
        <v>-4.4796713335911234</v>
      </c>
    </row>
    <row r="26" spans="1:4" x14ac:dyDescent="0.45">
      <c r="A26" s="1" t="s">
        <v>24</v>
      </c>
      <c r="B26" s="6">
        <f>'Scenario 1'!G5</f>
        <v>5</v>
      </c>
      <c r="C26" s="6">
        <f>'Scenario 2'!G5</f>
        <v>2.5185099822092827</v>
      </c>
      <c r="D26" s="6">
        <f>'Scenario 3'!G5</f>
        <v>-6.440832684972964</v>
      </c>
    </row>
    <row r="29" spans="1:4" x14ac:dyDescent="0.45">
      <c r="A29" s="1"/>
    </row>
    <row r="30" spans="1:4" x14ac:dyDescent="0.45">
      <c r="A30" s="1"/>
      <c r="B30" s="6"/>
      <c r="C30" s="6"/>
      <c r="D30" s="6"/>
    </row>
    <row r="31" spans="1:4" x14ac:dyDescent="0.45">
      <c r="A31" s="1"/>
      <c r="B31" s="6"/>
      <c r="C31" s="6"/>
      <c r="D31" s="6"/>
    </row>
    <row r="32" spans="1:4" x14ac:dyDescent="0.45">
      <c r="A32" s="1"/>
      <c r="B32" s="6"/>
      <c r="C32" s="6"/>
      <c r="D32" s="6"/>
    </row>
    <row r="33" spans="1:4" x14ac:dyDescent="0.45">
      <c r="A33" s="1"/>
      <c r="B33" s="6"/>
      <c r="C33" s="6"/>
      <c r="D33" s="6"/>
    </row>
    <row r="34" spans="1:4" x14ac:dyDescent="0.45">
      <c r="A34" s="1"/>
      <c r="B34" s="6"/>
      <c r="C34" s="6"/>
      <c r="D3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Haircut</vt:lpstr>
      <vt:lpstr>Macro</vt:lpstr>
      <vt:lpstr>Scenario 1</vt:lpstr>
      <vt:lpstr>Scenario 2</vt:lpstr>
      <vt:lpstr>Scenario 3</vt:lpstr>
      <vt:lpstr>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Pardede</dc:creator>
  <cp:lastModifiedBy>Abraham Pardede</cp:lastModifiedBy>
  <dcterms:created xsi:type="dcterms:W3CDTF">2024-09-22T15:15:38Z</dcterms:created>
  <dcterms:modified xsi:type="dcterms:W3CDTF">2024-09-30T06:56:28Z</dcterms:modified>
</cp:coreProperties>
</file>