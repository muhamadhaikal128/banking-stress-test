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291c01522efe8/Desktop/20260827_0301060601_W5_Banking Stress Test Materials (1)/20260827_0301060601_W5_Banking Stress Test Materials/Stata/"/>
    </mc:Choice>
  </mc:AlternateContent>
  <xr:revisionPtr revIDLastSave="533" documentId="13_ncr:1_{730491FC-1CE6-492F-A50E-63A683B2DED7}" xr6:coauthVersionLast="47" xr6:coauthVersionMax="47" xr10:uidLastSave="{D076EE6E-345D-4A14-8DEA-83468ED8B597}"/>
  <bookViews>
    <workbookView xWindow="-98" yWindow="-98" windowWidth="21795" windowHeight="12975" firstSheet="1" activeTab="1" xr2:uid="{00000000-000D-0000-FFFF-FFFF00000000}"/>
  </bookViews>
  <sheets>
    <sheet name="Haircut" sheetId="7" r:id="rId1"/>
    <sheet name="Macro" sheetId="2" r:id="rId2"/>
    <sheet name="Scenario 1" sheetId="4" r:id="rId3"/>
    <sheet name="Scenario 2" sheetId="5" r:id="rId4"/>
    <sheet name="Scenario 3" sheetId="6" r:id="rId5"/>
    <sheet name="Presentation" sheetId="8" r:id="rId6"/>
    <sheet name="Parameter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" l="1"/>
  <c r="B5" i="9"/>
  <c r="I49" i="2"/>
  <c r="I50" i="2"/>
  <c r="I3" i="2"/>
  <c r="J3" i="4"/>
  <c r="J4" i="4" s="1"/>
  <c r="J5" i="4" s="1"/>
  <c r="J6" i="4" s="1"/>
  <c r="J7" i="4" s="1"/>
  <c r="K3" i="4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J22" i="7"/>
  <c r="J12" i="7"/>
  <c r="J21" i="7"/>
  <c r="J11" i="7"/>
  <c r="J20" i="7"/>
  <c r="J10" i="7"/>
  <c r="J19" i="7"/>
  <c r="J9" i="7"/>
  <c r="J18" i="7"/>
  <c r="J8" i="7"/>
  <c r="J17" i="7"/>
  <c r="I2" i="6" s="1"/>
  <c r="J7" i="7"/>
  <c r="I2" i="5" s="1"/>
  <c r="J16" i="7"/>
  <c r="J6" i="7"/>
  <c r="C2" i="6"/>
  <c r="D9" i="8" s="1"/>
  <c r="C2" i="5"/>
  <c r="C9" i="8" s="1"/>
  <c r="H7" i="4"/>
  <c r="H6" i="4"/>
  <c r="H5" i="4"/>
  <c r="H4" i="4"/>
  <c r="H3" i="4"/>
  <c r="H2" i="4"/>
  <c r="B16" i="8"/>
  <c r="D2" i="8"/>
  <c r="C2" i="8"/>
  <c r="B2" i="8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2" i="6" s="1"/>
  <c r="E16" i="7"/>
  <c r="D16" i="7"/>
  <c r="C16" i="7"/>
  <c r="B2" i="6" s="1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3" i="6" s="1"/>
  <c r="C8" i="7"/>
  <c r="G7" i="7"/>
  <c r="F7" i="7"/>
  <c r="E7" i="7"/>
  <c r="D2" i="5" s="1"/>
  <c r="D7" i="7"/>
  <c r="C7" i="7"/>
  <c r="G6" i="7"/>
  <c r="F6" i="7"/>
  <c r="E2" i="5" s="1"/>
  <c r="E6" i="7"/>
  <c r="D6" i="7"/>
  <c r="C6" i="7"/>
  <c r="B2" i="5" s="1"/>
  <c r="B3" i="5" s="1"/>
  <c r="D20" i="8"/>
  <c r="C20" i="8"/>
  <c r="B20" i="8"/>
  <c r="D19" i="8"/>
  <c r="C19" i="8"/>
  <c r="B19" i="8"/>
  <c r="D18" i="8"/>
  <c r="C18" i="8"/>
  <c r="B18" i="8"/>
  <c r="B17" i="8"/>
  <c r="B12" i="8"/>
  <c r="B11" i="8"/>
  <c r="B10" i="8"/>
  <c r="B9" i="8"/>
  <c r="B6" i="8"/>
  <c r="B5" i="8"/>
  <c r="B4" i="8"/>
  <c r="B3" i="8"/>
  <c r="H42" i="2"/>
  <c r="H41" i="2"/>
  <c r="H40" i="2"/>
  <c r="H39" i="2"/>
  <c r="H38" i="2"/>
  <c r="H37" i="2"/>
  <c r="H36" i="2"/>
  <c r="H35" i="2"/>
  <c r="H34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J3" i="2"/>
  <c r="H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I20" i="7" l="1"/>
  <c r="J2" i="6"/>
  <c r="I16" i="7"/>
  <c r="I3" i="5"/>
  <c r="I4" i="5" s="1"/>
  <c r="J2" i="5"/>
  <c r="H16" i="7"/>
  <c r="H6" i="7"/>
  <c r="I8" i="7"/>
  <c r="H10" i="7"/>
  <c r="I3" i="6"/>
  <c r="I4" i="6" s="1"/>
  <c r="I5" i="6" s="1"/>
  <c r="I6" i="6" s="1"/>
  <c r="I7" i="6" s="1"/>
  <c r="G3" i="4"/>
  <c r="B24" i="8" s="1"/>
  <c r="K4" i="4"/>
  <c r="I5" i="5"/>
  <c r="I6" i="5" s="1"/>
  <c r="H21" i="7"/>
  <c r="I21" i="7"/>
  <c r="H9" i="7"/>
  <c r="I10" i="7"/>
  <c r="H18" i="7"/>
  <c r="I6" i="7"/>
  <c r="H11" i="7"/>
  <c r="I11" i="7"/>
  <c r="H19" i="7"/>
  <c r="I19" i="7"/>
  <c r="E3" i="6"/>
  <c r="E4" i="6" s="1"/>
  <c r="E5" i="6" s="1"/>
  <c r="E6" i="6" s="1"/>
  <c r="E7" i="6" s="1"/>
  <c r="I9" i="7"/>
  <c r="I17" i="7"/>
  <c r="F2" i="6" s="1"/>
  <c r="D17" i="8" s="1"/>
  <c r="I7" i="7"/>
  <c r="F2" i="5" s="1"/>
  <c r="C17" i="8" s="1"/>
  <c r="I22" i="7"/>
  <c r="I12" i="7"/>
  <c r="H20" i="7"/>
  <c r="C3" i="5"/>
  <c r="C10" i="8" s="1"/>
  <c r="H7" i="7"/>
  <c r="G2" i="4"/>
  <c r="B23" i="8" s="1"/>
  <c r="H8" i="7"/>
  <c r="I18" i="7"/>
  <c r="E3" i="5"/>
  <c r="E4" i="5" s="1"/>
  <c r="E5" i="5" s="1"/>
  <c r="E6" i="5" s="1"/>
  <c r="E7" i="5" s="1"/>
  <c r="D2" i="6"/>
  <c r="D3" i="6" s="1"/>
  <c r="D4" i="6" s="1"/>
  <c r="D5" i="6" s="1"/>
  <c r="D6" i="6" s="1"/>
  <c r="D7" i="6" s="1"/>
  <c r="H22" i="7"/>
  <c r="H12" i="7"/>
  <c r="H17" i="7"/>
  <c r="D3" i="5"/>
  <c r="D4" i="5" s="1"/>
  <c r="D5" i="5" s="1"/>
  <c r="D6" i="5" s="1"/>
  <c r="D7" i="5" s="1"/>
  <c r="D3" i="8"/>
  <c r="B3" i="6"/>
  <c r="C4" i="6"/>
  <c r="D10" i="8"/>
  <c r="B4" i="5"/>
  <c r="C4" i="8"/>
  <c r="C3" i="8"/>
  <c r="C4" i="5" l="1"/>
  <c r="G2" i="5"/>
  <c r="C23" i="8" s="1"/>
  <c r="J3" i="5"/>
  <c r="K5" i="4"/>
  <c r="G4" i="4"/>
  <c r="B25" i="8" s="1"/>
  <c r="G2" i="6"/>
  <c r="D23" i="8" s="1"/>
  <c r="J3" i="6"/>
  <c r="C5" i="6"/>
  <c r="D11" i="8"/>
  <c r="C11" i="8"/>
  <c r="C5" i="5"/>
  <c r="D4" i="8"/>
  <c r="B4" i="6"/>
  <c r="C5" i="8"/>
  <c r="B5" i="5"/>
  <c r="G3" i="6" l="1"/>
  <c r="D24" i="8" s="1"/>
  <c r="J4" i="6"/>
  <c r="K6" i="4"/>
  <c r="G5" i="4"/>
  <c r="B26" i="8" s="1"/>
  <c r="G3" i="5"/>
  <c r="C24" i="8" s="1"/>
  <c r="J4" i="5"/>
  <c r="B5" i="6"/>
  <c r="D5" i="8"/>
  <c r="C6" i="6"/>
  <c r="C7" i="6" s="1"/>
  <c r="D12" i="8"/>
  <c r="B6" i="5"/>
  <c r="B7" i="5" s="1"/>
  <c r="C6" i="8"/>
  <c r="C12" i="8"/>
  <c r="C6" i="5"/>
  <c r="J5" i="5" l="1"/>
  <c r="G4" i="5"/>
  <c r="C25" i="8" s="1"/>
  <c r="K7" i="4"/>
  <c r="G7" i="4" s="1"/>
  <c r="G6" i="4"/>
  <c r="G4" i="6"/>
  <c r="D25" i="8" s="1"/>
  <c r="J5" i="6"/>
  <c r="C7" i="5"/>
  <c r="D6" i="8"/>
  <c r="B6" i="6"/>
  <c r="B7" i="6" s="1"/>
  <c r="J6" i="6" l="1"/>
  <c r="G5" i="6"/>
  <c r="D26" i="8" s="1"/>
  <c r="J6" i="5"/>
  <c r="G5" i="5"/>
  <c r="C26" i="8" s="1"/>
  <c r="J7" i="5" l="1"/>
  <c r="G7" i="5" s="1"/>
  <c r="G6" i="5"/>
  <c r="J7" i="6"/>
  <c r="G7" i="6" s="1"/>
  <c r="G6" i="6"/>
</calcChain>
</file>

<file path=xl/sharedStrings.xml><?xml version="1.0" encoding="utf-8"?>
<sst xmlns="http://schemas.openxmlformats.org/spreadsheetml/2006/main" count="135" uniqueCount="57">
  <si>
    <t>Dates</t>
  </si>
  <si>
    <t>quarter</t>
  </si>
  <si>
    <t>gdp</t>
  </si>
  <si>
    <t>reporate</t>
  </si>
  <si>
    <t>cpi</t>
  </si>
  <si>
    <t>forex</t>
  </si>
  <si>
    <t>property</t>
  </si>
  <si>
    <t>d_price</t>
  </si>
  <si>
    <t>d_property</t>
  </si>
  <si>
    <t>d_repo</t>
  </si>
  <si>
    <t>Scenario 2</t>
  </si>
  <si>
    <t>std dev</t>
  </si>
  <si>
    <t>Scenario 3</t>
  </si>
  <si>
    <t>GDP</t>
  </si>
  <si>
    <t>Baseline</t>
  </si>
  <si>
    <t>Adverse 1</t>
  </si>
  <si>
    <t>Adverse 2</t>
  </si>
  <si>
    <t>7DRR</t>
  </si>
  <si>
    <t>Housing</t>
  </si>
  <si>
    <t>Bond Price</t>
  </si>
  <si>
    <t>2026Q2</t>
  </si>
  <si>
    <t>2026Q3</t>
  </si>
  <si>
    <t>2026Q4</t>
  </si>
  <si>
    <t>2027Q1</t>
  </si>
  <si>
    <t>2027Q2</t>
  </si>
  <si>
    <t>ust10y</t>
  </si>
  <si>
    <t>sbn10y</t>
  </si>
  <si>
    <t>beta_UST</t>
  </si>
  <si>
    <t>beta_rate</t>
  </si>
  <si>
    <t>beta_FX</t>
  </si>
  <si>
    <t>Duration</t>
  </si>
  <si>
    <t>parameter</t>
  </si>
  <si>
    <t>value</t>
  </si>
  <si>
    <t>description</t>
  </si>
  <si>
    <t>source / date</t>
  </si>
  <si>
    <t>srbi_bank</t>
  </si>
  <si>
    <t>SRBI owned by banks (Rp trillion) - INPUT</t>
  </si>
  <si>
    <t>BI, Ownership of SRBI, 30 Sep 2026 (row Bank)</t>
  </si>
  <si>
    <t>srbi_repo</t>
  </si>
  <si>
    <t>SRBI under repo to BI (Rp trillion) - INPUT</t>
  </si>
  <si>
    <t>BI, Ownership of SRBI, 30 Sep 2026 (row Others*)</t>
  </si>
  <si>
    <t>sbn_bank</t>
  </si>
  <si>
    <t>SBN held by banks incl. repo with BI (Rp trillion) - INPUT</t>
  </si>
  <si>
    <t>DJPPR, Kepemilikan SBN yang dapat diperdagangkan, 1 Oct 2026 (row BANK*)</t>
  </si>
  <si>
    <t>w_srbi</t>
  </si>
  <si>
    <t>SRBI share of bank securities; held to maturity, no MTM loss</t>
  </si>
  <si>
    <t>formula</t>
  </si>
  <si>
    <t>D_sbn</t>
  </si>
  <si>
    <t>Modified duration of the SBN book (price change = -D x change in SBN 10Y yield)</t>
  </si>
  <si>
    <t>assumption</t>
  </si>
  <si>
    <t>payout</t>
  </si>
  <si>
    <t>Dividend payout on positive profit</t>
  </si>
  <si>
    <t>k_stress</t>
  </si>
  <si>
    <t>Stress provision add-on per pp GDP gap vs baseline, x NPL stock, per quarter</t>
  </si>
  <si>
    <t>calibrated: Adverse 2 credit loss ~ 2021 peak (11.5% of capital)</t>
  </si>
  <si>
    <t>tax_rate</t>
  </si>
  <si>
    <t>Corporate income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</si>
</sst>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GDP</a:t>
            </a:r>
            <a:r>
              <a:rPr lang="en-AU" baseline="0"/>
              <a:t> Growth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Presentation!$B$2:$B$6</c:f>
              <c:numCache>
                <c:formatCode>0.00</c:formatCode>
                <c:ptCount val="5"/>
                <c:pt idx="0">
                  <c:v>5.29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E-4B8E-AD7F-2706A88E3995}"/>
            </c:ext>
          </c:extLst>
        </c:ser>
        <c:ser>
          <c:idx val="1"/>
          <c:order val="1"/>
          <c:tx>
            <c:strRef>
              <c:f>Presentation!$C$1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Presentation!$C$2:$C$6</c:f>
              <c:numCache>
                <c:formatCode>0.00</c:formatCode>
                <c:ptCount val="5"/>
                <c:pt idx="0">
                  <c:v>5.29</c:v>
                </c:pt>
                <c:pt idx="1">
                  <c:v>4.7116181646987325</c:v>
                </c:pt>
                <c:pt idx="2">
                  <c:v>4.133236329397465</c:v>
                </c:pt>
                <c:pt idx="3">
                  <c:v>3.5548544940961975</c:v>
                </c:pt>
                <c:pt idx="4">
                  <c:v>2.9764726587949299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E-4B8E-AD7F-2706A88E3995}"/>
            </c:ext>
          </c:extLst>
        </c:ser>
        <c:ser>
          <c:idx val="2"/>
          <c:order val="2"/>
          <c:tx>
            <c:strRef>
              <c:f>Presentation!$D$1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Presentation!$D$2:$D$6</c:f>
              <c:numCache>
                <c:formatCode>0.00</c:formatCode>
                <c:ptCount val="5"/>
                <c:pt idx="0">
                  <c:v>5.29</c:v>
                </c:pt>
                <c:pt idx="1">
                  <c:v>4.1332363293974659</c:v>
                </c:pt>
                <c:pt idx="2">
                  <c:v>2.9764726587949313</c:v>
                </c:pt>
                <c:pt idx="3">
                  <c:v>1.8197089881923967</c:v>
                </c:pt>
                <c:pt idx="4">
                  <c:v>0.66294531758986208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E-4B8E-AD7F-2706A88E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01007"/>
        <c:axId val="402477007"/>
      </c:lineChart>
      <c:catAx>
        <c:axId val="4025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7007"/>
        <c:crosses val="autoZero"/>
        <c:auto val="1"/>
        <c:lblAlgn val="ctr"/>
        <c:lblOffset val="100"/>
        <c:noMultiLvlLbl val="0"/>
      </c:catAx>
      <c:valAx>
        <c:axId val="402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7-Day</a:t>
            </a:r>
            <a:r>
              <a:rPr lang="en-AU" baseline="0"/>
              <a:t> Repo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Presentation!$B$8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Presentation!$B$9:$B$12</c:f>
              <c:numCache>
                <c:formatCode>0.00</c:formatCode>
                <c:ptCount val="4"/>
                <c:pt idx="0">
                  <c:v>5.75</c:v>
                </c:pt>
                <c:pt idx="1">
                  <c:v>5.75</c:v>
                </c:pt>
                <c:pt idx="2">
                  <c:v>5.5</c:v>
                </c:pt>
                <c:pt idx="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6-40FC-9BF6-DEBC811E829B}"/>
            </c:ext>
          </c:extLst>
        </c:ser>
        <c:ser>
          <c:idx val="1"/>
          <c:order val="1"/>
          <c:tx>
            <c:strRef>
              <c:f>Presentation!$C$8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Presentation!$C$9:$C$12</c:f>
              <c:numCache>
                <c:formatCode>0.00</c:formatCode>
                <c:ptCount val="4"/>
                <c:pt idx="0">
                  <c:v>5.75</c:v>
                </c:pt>
                <c:pt idx="1">
                  <c:v>5.5120070904417524</c:v>
                </c:pt>
                <c:pt idx="2">
                  <c:v>5.2740141808835048</c:v>
                </c:pt>
                <c:pt idx="3">
                  <c:v>5.0360212713252572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6-40FC-9BF6-DEBC811E829B}"/>
            </c:ext>
          </c:extLst>
        </c:ser>
        <c:ser>
          <c:idx val="2"/>
          <c:order val="2"/>
          <c:tx>
            <c:strRef>
              <c:f>Presentation!$D$8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Presentation!$D$9:$D$12</c:f>
              <c:numCache>
                <c:formatCode>0.00</c:formatCode>
                <c:ptCount val="4"/>
                <c:pt idx="0">
                  <c:v>5.75</c:v>
                </c:pt>
                <c:pt idx="1">
                  <c:v>5.9879929095582476</c:v>
                </c:pt>
                <c:pt idx="2">
                  <c:v>6.2259858191164952</c:v>
                </c:pt>
                <c:pt idx="3">
                  <c:v>6.4639787286747428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6-40FC-9BF6-DEBC811E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29151"/>
        <c:axId val="472430111"/>
      </c:lineChart>
      <c:catAx>
        <c:axId val="472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30111"/>
        <c:crosses val="autoZero"/>
        <c:auto val="1"/>
        <c:lblAlgn val="ctr"/>
        <c:lblOffset val="100"/>
        <c:noMultiLvlLbl val="0"/>
      </c:catAx>
      <c:valAx>
        <c:axId val="472430111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Change</a:t>
            </a:r>
            <a:r>
              <a:rPr lang="en-AU" baseline="0"/>
              <a:t> in House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Presentation!$B$15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Presentation!$B$16:$B$20</c:f>
              <c:numCache>
                <c:formatCode>0.00</c:formatCode>
                <c:ptCount val="5"/>
                <c:pt idx="0">
                  <c:v>0.29000000000000625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0-4C5D-BA33-B95CF9CE3C67}"/>
            </c:ext>
          </c:extLst>
        </c:ser>
        <c:ser>
          <c:idx val="1"/>
          <c:order val="1"/>
          <c:tx>
            <c:strRef>
              <c:f>Presentation!$C$15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Presentation!$C$16:$C$20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0.20186731553845472</c:v>
                </c:pt>
                <c:pt idx="2">
                  <c:v>0.35999999999998522</c:v>
                </c:pt>
                <c:pt idx="3">
                  <c:v>0</c:v>
                </c:pt>
                <c:pt idx="4">
                  <c:v>0.1071561619203264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0-4C5D-BA33-B95CF9CE3C67}"/>
            </c:ext>
          </c:extLst>
        </c:ser>
        <c:ser>
          <c:idx val="2"/>
          <c:order val="2"/>
          <c:tx>
            <c:strRef>
              <c:f>Presentation!$D$15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Presentation!$D$16:$D$20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0.11373463107690321</c:v>
                </c:pt>
                <c:pt idx="2">
                  <c:v>-1.3900000000000148</c:v>
                </c:pt>
                <c:pt idx="3">
                  <c:v>-2.6500000000000057</c:v>
                </c:pt>
                <c:pt idx="4">
                  <c:v>-2.5699999999999932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0-4C5D-BA33-B95CF9CE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510671"/>
        <c:axId val="506513071"/>
      </c:lineChart>
      <c:catAx>
        <c:axId val="5065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3071"/>
        <c:crosses val="autoZero"/>
        <c:auto val="1"/>
        <c:lblAlgn val="ctr"/>
        <c:lblOffset val="100"/>
        <c:noMultiLvlLbl val="0"/>
      </c:catAx>
      <c:valAx>
        <c:axId val="5065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Change</a:t>
            </a:r>
            <a:r>
              <a:rPr lang="en-AU" baseline="0"/>
              <a:t> in Bond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Presentation!$B$22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Presentation!$B$23:$B$26</c:f>
              <c:numCache>
                <c:formatCode>0.00</c:formatCode>
                <c:ptCount val="4"/>
                <c:pt idx="0">
                  <c:v>0.31500000000000306</c:v>
                </c:pt>
                <c:pt idx="1">
                  <c:v>0.18325799679400845</c:v>
                </c:pt>
                <c:pt idx="2">
                  <c:v>0.63615462326126693</c:v>
                </c:pt>
                <c:pt idx="3">
                  <c:v>0.39834093122405712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4AE3-BCF2-477CBF04551F}"/>
            </c:ext>
          </c:extLst>
        </c:ser>
        <c:ser>
          <c:idx val="1"/>
          <c:order val="1"/>
          <c:tx>
            <c:strRef>
              <c:f>Presentation!$C$22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Presentation!$C$23:$C$26</c:f>
              <c:numCache>
                <c:formatCode>0.00</c:formatCode>
                <c:ptCount val="4"/>
                <c:pt idx="0">
                  <c:v>-1.0836790966956578</c:v>
                </c:pt>
                <c:pt idx="1">
                  <c:v>-1.2357707300292642</c:v>
                </c:pt>
                <c:pt idx="2">
                  <c:v>-1.2222746035749488</c:v>
                </c:pt>
                <c:pt idx="3">
                  <c:v>-1.2092472000346222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4AE3-BCF2-477CBF04551F}"/>
            </c:ext>
          </c:extLst>
        </c:ser>
        <c:ser>
          <c:idx val="2"/>
          <c:order val="2"/>
          <c:tx>
            <c:strRef>
              <c:f>Presentation!$D$22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Presentation!$D$23:$D$26</c:f>
              <c:numCache>
                <c:formatCode>0.00</c:formatCode>
                <c:ptCount val="4"/>
                <c:pt idx="0">
                  <c:v>-2.4683675830688889</c:v>
                </c:pt>
                <c:pt idx="1">
                  <c:v>-2.8782750726414896</c:v>
                </c:pt>
                <c:pt idx="2">
                  <c:v>-2.8279219512319287</c:v>
                </c:pt>
                <c:pt idx="3">
                  <c:v>-2.7808666579016172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9-4AE3-BCF2-477CB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40335"/>
        <c:axId val="518540815"/>
      </c:lineChart>
      <c:catAx>
        <c:axId val="5185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815"/>
        <c:crosses val="autoZero"/>
        <c:auto val="1"/>
        <c:lblAlgn val="ctr"/>
        <c:lblOffset val="100"/>
        <c:noMultiLvlLbl val="0"/>
      </c:catAx>
      <c:valAx>
        <c:axId val="5185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0</xdr:row>
      <xdr:rowOff>80962</xdr:rowOff>
    </xdr:from>
    <xdr:to>
      <xdr:col>12</xdr:col>
      <xdr:colOff>97630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0E6CE-BEDC-1810-2B96-D0B1E422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</xdr:colOff>
      <xdr:row>16</xdr:row>
      <xdr:rowOff>76199</xdr:rowOff>
    </xdr:from>
    <xdr:to>
      <xdr:col>12</xdr:col>
      <xdr:colOff>59531</xdr:colOff>
      <xdr:row>31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FBD17-C3E0-E7FF-2570-A92D2E1A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607219</xdr:colOff>
      <xdr:row>31</xdr:row>
      <xdr:rowOff>104775</xdr:rowOff>
    </xdr:from>
    <xdr:to>
      <xdr:col>11</xdr:col>
      <xdr:colOff>645319</xdr:colOff>
      <xdr:row>46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F8DD8-8908-137A-C04B-E8364606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459580</xdr:colOff>
      <xdr:row>47</xdr:row>
      <xdr:rowOff>123826</xdr:rowOff>
    </xdr:from>
    <xdr:to>
      <xdr:col>11</xdr:col>
      <xdr:colOff>497680</xdr:colOff>
      <xdr:row>62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EF41E-C1C4-0965-B4BA-6157B09E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1A62F0-EB15-40B5-B4C7-2BB148F84080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726bc62-d6ea-42c8-ad94-6be8ff9883cc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48C-5E8B-4193-A522-ACE31EF6A39B}">
  <dimension ref="A1:J22"/>
  <sheetViews>
    <sheetView workbookViewId="0">
      <selection activeCell="H6" sqref="H6"/>
    </sheetView>
  </sheetViews>
  <sheetFormatPr defaultRowHeight="14.25" x14ac:dyDescent="0.45"/>
  <cols>
    <col min="1" max="1" width="11.265625" customWidth="1"/>
  </cols>
  <sheetData>
    <row r="1" spans="1:10" x14ac:dyDescent="0.45">
      <c r="A1" t="s">
        <v>10</v>
      </c>
      <c r="B1" s="6">
        <v>0.25</v>
      </c>
      <c r="C1" t="s">
        <v>11</v>
      </c>
      <c r="E1" t="s">
        <v>27</v>
      </c>
      <c r="F1">
        <v>0.43303069999999999</v>
      </c>
      <c r="G1" t="s">
        <v>30</v>
      </c>
      <c r="H1">
        <v>5</v>
      </c>
    </row>
    <row r="2" spans="1:10" x14ac:dyDescent="0.45">
      <c r="A2" t="s">
        <v>12</v>
      </c>
      <c r="B2" s="6">
        <v>0.5</v>
      </c>
      <c r="C2" t="s">
        <v>11</v>
      </c>
      <c r="E2" t="s">
        <v>28</v>
      </c>
      <c r="F2">
        <v>0.1251447</v>
      </c>
    </row>
    <row r="3" spans="1:10" x14ac:dyDescent="0.45">
      <c r="E3" t="s">
        <v>29</v>
      </c>
      <c r="F3">
        <v>8.4910200000000005E-2</v>
      </c>
    </row>
    <row r="4" spans="1:10" x14ac:dyDescent="0.45">
      <c r="A4" s="11" t="s">
        <v>10</v>
      </c>
      <c r="B4" s="11"/>
      <c r="C4" s="11"/>
      <c r="D4" s="11"/>
      <c r="E4" s="11"/>
      <c r="F4" s="11"/>
      <c r="G4" s="11"/>
    </row>
    <row r="5" spans="1:10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25</v>
      </c>
    </row>
    <row r="6" spans="1:10" x14ac:dyDescent="0.45">
      <c r="A6" s="1">
        <v>46203</v>
      </c>
      <c r="B6" s="7">
        <v>265</v>
      </c>
      <c r="C6">
        <f>$B$1*_xlfn.STDEV.S(Macro!C$2:C$50)</f>
        <v>0.5783818353012673</v>
      </c>
      <c r="D6">
        <f>$B$1*_xlfn.STDEV.S(Macro!G$2:G$50)</f>
        <v>0.23799290955824715</v>
      </c>
      <c r="E6">
        <f>$B$1*_xlfn.STDEV.S(Macro!D$2:D$50)</f>
        <v>0.41479566956695268</v>
      </c>
      <c r="F6">
        <f>$B$1*_xlfn.STDEV.S(Macro!E$2:E$50)</f>
        <v>330.49726608386135</v>
      </c>
      <c r="G6">
        <f>$B$1*_xlfn.STDEV.S(Macro!F$2:F$50)</f>
        <v>1.7439828693579353</v>
      </c>
      <c r="H6">
        <f>$B$1*_xlfn.STDEV.S(Macro!I$2:I$50)</f>
        <v>0.72721093043168528</v>
      </c>
      <c r="I6">
        <f>$B$1*_xlfn.STDEV.S(Macro!J$2:J$50)</f>
        <v>8.8132684461551522E-2</v>
      </c>
      <c r="J6">
        <f>$B$1*_xlfn.STDEV.S(Macro!K$2:K$50)</f>
        <v>0.28680014790425773</v>
      </c>
    </row>
    <row r="7" spans="1:10" x14ac:dyDescent="0.45">
      <c r="A7" s="1">
        <v>46295</v>
      </c>
      <c r="B7">
        <v>266</v>
      </c>
      <c r="C7">
        <f>$B$1*_xlfn.STDEV.S(Macro!C$2:C$50)</f>
        <v>0.5783818353012673</v>
      </c>
      <c r="D7">
        <f>$B$1*_xlfn.STDEV.S(Macro!G$2:G$50)</f>
        <v>0.23799290955824715</v>
      </c>
      <c r="E7">
        <f>$B$1*_xlfn.STDEV.S(Macro!D$2:D$50)</f>
        <v>0.41479566956695268</v>
      </c>
      <c r="F7">
        <f>$B$1*_xlfn.STDEV.S(Macro!E$2:E$50)</f>
        <v>330.49726608386135</v>
      </c>
      <c r="G7">
        <f>$B$1*_xlfn.STDEV.S(Macro!F$2:F$50)</f>
        <v>1.7439828693579353</v>
      </c>
      <c r="H7">
        <f>$B$1*_xlfn.STDEV.S(Macro!I$2:I$50)</f>
        <v>0.72721093043168528</v>
      </c>
      <c r="I7">
        <f>$B$1*_xlfn.STDEV.S(Macro!J$2:J$50)</f>
        <v>8.8132684461551522E-2</v>
      </c>
      <c r="J7">
        <f>$B$1*_xlfn.STDEV.S(Macro!K$2:K$50)</f>
        <v>0.28680014790425773</v>
      </c>
    </row>
    <row r="8" spans="1:10" x14ac:dyDescent="0.45">
      <c r="A8" s="1">
        <v>46387</v>
      </c>
      <c r="B8">
        <v>267</v>
      </c>
      <c r="C8">
        <f>$B$1*_xlfn.STDEV.S(Macro!C$2:C$50)</f>
        <v>0.5783818353012673</v>
      </c>
      <c r="D8">
        <f>$B$1*_xlfn.STDEV.S(Macro!G$2:G$50)</f>
        <v>0.23799290955824715</v>
      </c>
      <c r="E8">
        <f>$B$1*_xlfn.STDEV.S(Macro!D$2:D$50)</f>
        <v>0.41479566956695268</v>
      </c>
      <c r="F8">
        <f>$B$1*_xlfn.STDEV.S(Macro!E$2:E$50)</f>
        <v>330.49726608386135</v>
      </c>
      <c r="G8">
        <f>$B$1*_xlfn.STDEV.S(Macro!F$2:F$50)</f>
        <v>1.7439828693579353</v>
      </c>
      <c r="H8">
        <f>$B$1*_xlfn.STDEV.S(Macro!I$2:I$50)</f>
        <v>0.72721093043168528</v>
      </c>
      <c r="I8">
        <f>$B$1*_xlfn.STDEV.S(Macro!J$2:J$50)</f>
        <v>8.8132684461551522E-2</v>
      </c>
      <c r="J8">
        <f>$B$1*_xlfn.STDEV.S(Macro!K$2:K$50)</f>
        <v>0.28680014790425773</v>
      </c>
    </row>
    <row r="9" spans="1:10" x14ac:dyDescent="0.45">
      <c r="A9" s="1">
        <v>46477</v>
      </c>
      <c r="B9">
        <v>268</v>
      </c>
      <c r="C9">
        <f>$B$1*_xlfn.STDEV.S(Macro!C$2:C$50)</f>
        <v>0.5783818353012673</v>
      </c>
      <c r="D9">
        <f>$B$1*_xlfn.STDEV.S(Macro!G$2:G$50)</f>
        <v>0.23799290955824715</v>
      </c>
      <c r="E9">
        <f>$B$1*_xlfn.STDEV.S(Macro!D$2:D$50)</f>
        <v>0.41479566956695268</v>
      </c>
      <c r="F9">
        <f>$B$1*_xlfn.STDEV.S(Macro!E$2:E$50)</f>
        <v>330.49726608386135</v>
      </c>
      <c r="G9">
        <f>$B$1*_xlfn.STDEV.S(Macro!F$2:F$50)</f>
        <v>1.7439828693579353</v>
      </c>
      <c r="H9">
        <f>$B$1*_xlfn.STDEV.S(Macro!I$2:I$50)</f>
        <v>0.72721093043168528</v>
      </c>
      <c r="I9">
        <f>$B$1*_xlfn.STDEV.S(Macro!J$2:J$50)</f>
        <v>8.8132684461551522E-2</v>
      </c>
      <c r="J9">
        <f>$B$1*_xlfn.STDEV.S(Macro!K$2:K$50)</f>
        <v>0.28680014790425773</v>
      </c>
    </row>
    <row r="10" spans="1:10" x14ac:dyDescent="0.45">
      <c r="A10" s="3">
        <v>46568</v>
      </c>
      <c r="B10">
        <v>269</v>
      </c>
      <c r="C10">
        <f>$B$1*_xlfn.STDEV.S(Macro!C$2:C$50)</f>
        <v>0.5783818353012673</v>
      </c>
      <c r="D10">
        <f>$B$1*_xlfn.STDEV.S(Macro!G$2:G$50)</f>
        <v>0.23799290955824715</v>
      </c>
      <c r="E10">
        <f>$B$1*_xlfn.STDEV.S(Macro!D$2:D$50)</f>
        <v>0.41479566956695268</v>
      </c>
      <c r="F10">
        <f>$B$1*_xlfn.STDEV.S(Macro!E$2:E$50)</f>
        <v>330.49726608386135</v>
      </c>
      <c r="G10">
        <f>$B$1*_xlfn.STDEV.S(Macro!F$2:F$50)</f>
        <v>1.7439828693579353</v>
      </c>
      <c r="H10">
        <f>$B$1*_xlfn.STDEV.S(Macro!I$2:I$50)</f>
        <v>0.72721093043168528</v>
      </c>
      <c r="I10">
        <f>$B$1*_xlfn.STDEV.S(Macro!J$2:J$50)</f>
        <v>8.8132684461551522E-2</v>
      </c>
      <c r="J10">
        <f>$B$1*_xlfn.STDEV.S(Macro!K$2:K$50)</f>
        <v>0.28680014790425773</v>
      </c>
    </row>
    <row r="11" spans="1:10" x14ac:dyDescent="0.45">
      <c r="A11" s="3">
        <v>46660</v>
      </c>
      <c r="B11">
        <v>270</v>
      </c>
      <c r="C11">
        <f>$B$1*_xlfn.STDEV.S(Macro!C$2:C$50)</f>
        <v>0.5783818353012673</v>
      </c>
      <c r="D11">
        <f>$B$1*_xlfn.STDEV.S(Macro!G$2:G$50)</f>
        <v>0.23799290955824715</v>
      </c>
      <c r="E11">
        <f>$B$1*_xlfn.STDEV.S(Macro!D$2:D$50)</f>
        <v>0.41479566956695268</v>
      </c>
      <c r="F11">
        <f>$B$1*_xlfn.STDEV.S(Macro!E$2:E$50)</f>
        <v>330.49726608386135</v>
      </c>
      <c r="G11">
        <f>$B$1*_xlfn.STDEV.S(Macro!F$2:F$50)</f>
        <v>1.7439828693579353</v>
      </c>
      <c r="H11">
        <f>$B$1*_xlfn.STDEV.S(Macro!I$2:I$50)</f>
        <v>0.72721093043168528</v>
      </c>
      <c r="I11">
        <f>$B$1*_xlfn.STDEV.S(Macro!J$2:J$50)</f>
        <v>8.8132684461551522E-2</v>
      </c>
      <c r="J11">
        <f>$B$1*_xlfn.STDEV.S(Macro!K$2:K$50)</f>
        <v>0.28680014790425773</v>
      </c>
    </row>
    <row r="12" spans="1:10" x14ac:dyDescent="0.45">
      <c r="A12" s="3">
        <v>46752</v>
      </c>
      <c r="B12">
        <v>271</v>
      </c>
      <c r="C12">
        <f>$B$1*_xlfn.STDEV.S(Macro!C$2:C$50)</f>
        <v>0.5783818353012673</v>
      </c>
      <c r="D12">
        <f>$B$1*_xlfn.STDEV.S(Macro!G$2:G$50)</f>
        <v>0.23799290955824715</v>
      </c>
      <c r="E12">
        <f>$B$1*_xlfn.STDEV.S(Macro!D$2:D$50)</f>
        <v>0.41479566956695268</v>
      </c>
      <c r="F12">
        <f>$B$1*_xlfn.STDEV.S(Macro!E$2:E$50)</f>
        <v>330.49726608386135</v>
      </c>
      <c r="G12">
        <f>$B$1*_xlfn.STDEV.S(Macro!F$2:F$50)</f>
        <v>1.7439828693579353</v>
      </c>
      <c r="H12">
        <f>$B$1*_xlfn.STDEV.S(Macro!I$2:I$50)</f>
        <v>0.72721093043168528</v>
      </c>
      <c r="I12">
        <f>$B$1*_xlfn.STDEV.S(Macro!J$2:J$50)</f>
        <v>8.8132684461551522E-2</v>
      </c>
      <c r="J12">
        <f>$B$1*_xlfn.STDEV.S(Macro!K$2:K$50)</f>
        <v>0.28680014790425773</v>
      </c>
    </row>
    <row r="13" spans="1:10" x14ac:dyDescent="0.45">
      <c r="A13" s="1"/>
      <c r="B13" s="7"/>
    </row>
    <row r="14" spans="1:10" x14ac:dyDescent="0.45">
      <c r="A14" s="11" t="s">
        <v>12</v>
      </c>
      <c r="B14" s="11"/>
      <c r="C14" s="11"/>
      <c r="D14" s="11"/>
      <c r="E14" s="11"/>
      <c r="F14" s="11"/>
      <c r="G14" s="11"/>
    </row>
    <row r="15" spans="1:10" x14ac:dyDescent="0.4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25</v>
      </c>
    </row>
    <row r="16" spans="1:10" x14ac:dyDescent="0.45">
      <c r="A16" s="1">
        <v>46203</v>
      </c>
      <c r="B16" s="7">
        <v>265</v>
      </c>
      <c r="C16">
        <f>$B$2*_xlfn.STDEV.S(Macro!C$2:C$50)</f>
        <v>1.1567636706025346</v>
      </c>
      <c r="D16">
        <f>$B$2*_xlfn.STDEV.S(Macro!G$2:G$50)</f>
        <v>0.47598581911649429</v>
      </c>
      <c r="E16">
        <f>$B$2*_xlfn.STDEV.S(Macro!D$2:D$50)</f>
        <v>0.82959133913390537</v>
      </c>
      <c r="F16">
        <f>$B$2*_xlfn.STDEV.S(Macro!E$2:E$50)</f>
        <v>660.9945321677227</v>
      </c>
      <c r="G16">
        <f>$B$2*_xlfn.STDEV.S(Macro!F$2:F$50)</f>
        <v>3.4879657387158707</v>
      </c>
      <c r="H16">
        <f>$B$2*_xlfn.STDEV.S(Macro!I$2:I$50)</f>
        <v>1.4544218608633706</v>
      </c>
      <c r="I16">
        <f>$B$2*_xlfn.STDEV.S(Macro!J$2:J$50)</f>
        <v>0.17626536892310304</v>
      </c>
      <c r="J16">
        <f>$B$2*_xlfn.STDEV.S(Macro!K$2:K$50)</f>
        <v>0.57360029580851546</v>
      </c>
    </row>
    <row r="17" spans="1:10" x14ac:dyDescent="0.45">
      <c r="A17" s="1">
        <v>46295</v>
      </c>
      <c r="B17">
        <v>266</v>
      </c>
      <c r="C17">
        <f>$B$2*_xlfn.STDEV.S(Macro!C$2:C$50)</f>
        <v>1.1567636706025346</v>
      </c>
      <c r="D17">
        <f>$B$2*_xlfn.STDEV.S(Macro!G$2:G$50)</f>
        <v>0.47598581911649429</v>
      </c>
      <c r="E17">
        <f>$B$2*_xlfn.STDEV.S(Macro!D$2:D$50)</f>
        <v>0.82959133913390537</v>
      </c>
      <c r="F17">
        <f>$B$2*_xlfn.STDEV.S(Macro!E$2:E$50)</f>
        <v>660.9945321677227</v>
      </c>
      <c r="G17">
        <f>$B$2*_xlfn.STDEV.S(Macro!F$2:F$50)</f>
        <v>3.4879657387158707</v>
      </c>
      <c r="H17">
        <f>$B$2*_xlfn.STDEV.S(Macro!I$2:I$50)</f>
        <v>1.4544218608633706</v>
      </c>
      <c r="I17">
        <f>$B$2*_xlfn.STDEV.S(Macro!J$2:J$50)</f>
        <v>0.17626536892310304</v>
      </c>
      <c r="J17">
        <f>$B$2*_xlfn.STDEV.S(Macro!K$2:K$50)</f>
        <v>0.57360029580851546</v>
      </c>
    </row>
    <row r="18" spans="1:10" x14ac:dyDescent="0.45">
      <c r="A18" s="1">
        <v>46387</v>
      </c>
      <c r="B18">
        <v>267</v>
      </c>
      <c r="C18">
        <f>$B$2*_xlfn.STDEV.S(Macro!C$2:C$50)</f>
        <v>1.1567636706025346</v>
      </c>
      <c r="D18">
        <f>$B$2*_xlfn.STDEV.S(Macro!G$2:G$50)</f>
        <v>0.47598581911649429</v>
      </c>
      <c r="E18">
        <f>$B$2*_xlfn.STDEV.S(Macro!D$2:D$50)</f>
        <v>0.82959133913390537</v>
      </c>
      <c r="F18">
        <f>$B$2*_xlfn.STDEV.S(Macro!E$2:E$50)</f>
        <v>660.9945321677227</v>
      </c>
      <c r="G18">
        <f>$B$2*_xlfn.STDEV.S(Macro!F$2:F$50)</f>
        <v>3.4879657387158707</v>
      </c>
      <c r="H18">
        <f>$B$2*_xlfn.STDEV.S(Macro!I$2:I$50)</f>
        <v>1.4544218608633706</v>
      </c>
      <c r="I18">
        <f>$B$2*_xlfn.STDEV.S(Macro!J$2:J$50)</f>
        <v>0.17626536892310304</v>
      </c>
      <c r="J18">
        <f>$B$2*_xlfn.STDEV.S(Macro!K$2:K$50)</f>
        <v>0.57360029580851546</v>
      </c>
    </row>
    <row r="19" spans="1:10" x14ac:dyDescent="0.45">
      <c r="A19" s="1">
        <v>46477</v>
      </c>
      <c r="B19">
        <v>268</v>
      </c>
      <c r="C19">
        <f>$B$2*_xlfn.STDEV.S(Macro!C$2:C$50)</f>
        <v>1.1567636706025346</v>
      </c>
      <c r="D19">
        <f>$B$2*_xlfn.STDEV.S(Macro!G$2:G$50)</f>
        <v>0.47598581911649429</v>
      </c>
      <c r="E19">
        <f>$B$2*_xlfn.STDEV.S(Macro!D$2:D$50)</f>
        <v>0.82959133913390537</v>
      </c>
      <c r="F19">
        <f>$B$2*_xlfn.STDEV.S(Macro!E$2:E$50)</f>
        <v>660.9945321677227</v>
      </c>
      <c r="G19">
        <f>$B$2*_xlfn.STDEV.S(Macro!F$2:F$50)</f>
        <v>3.4879657387158707</v>
      </c>
      <c r="H19">
        <f>$B$2*_xlfn.STDEV.S(Macro!I$2:I$50)</f>
        <v>1.4544218608633706</v>
      </c>
      <c r="I19">
        <f>$B$2*_xlfn.STDEV.S(Macro!J$2:J$50)</f>
        <v>0.17626536892310304</v>
      </c>
      <c r="J19">
        <f>$B$2*_xlfn.STDEV.S(Macro!K$2:K$50)</f>
        <v>0.57360029580851546</v>
      </c>
    </row>
    <row r="20" spans="1:10" x14ac:dyDescent="0.45">
      <c r="A20" s="3">
        <v>46568</v>
      </c>
      <c r="B20">
        <v>269</v>
      </c>
      <c r="C20">
        <f>$B$2*_xlfn.STDEV.S(Macro!C$2:C$50)</f>
        <v>1.1567636706025346</v>
      </c>
      <c r="D20">
        <f>$B$2*_xlfn.STDEV.S(Macro!G$2:G$50)</f>
        <v>0.47598581911649429</v>
      </c>
      <c r="E20">
        <f>$B$2*_xlfn.STDEV.S(Macro!D$2:D$50)</f>
        <v>0.82959133913390537</v>
      </c>
      <c r="F20">
        <f>$B$2*_xlfn.STDEV.S(Macro!E$2:E$50)</f>
        <v>660.9945321677227</v>
      </c>
      <c r="G20">
        <f>$B$2*_xlfn.STDEV.S(Macro!F$2:F$50)</f>
        <v>3.4879657387158707</v>
      </c>
      <c r="H20">
        <f>$B$2*_xlfn.STDEV.S(Macro!I$2:I$50)</f>
        <v>1.4544218608633706</v>
      </c>
      <c r="I20">
        <f>$B$2*_xlfn.STDEV.S(Macro!J$2:J$50)</f>
        <v>0.17626536892310304</v>
      </c>
      <c r="J20">
        <f>$B$2*_xlfn.STDEV.S(Macro!K$2:K$50)</f>
        <v>0.57360029580851546</v>
      </c>
    </row>
    <row r="21" spans="1:10" x14ac:dyDescent="0.45">
      <c r="A21" s="3">
        <v>46660</v>
      </c>
      <c r="B21">
        <v>270</v>
      </c>
      <c r="C21">
        <f>$B$2*_xlfn.STDEV.S(Macro!C$2:C$50)</f>
        <v>1.1567636706025346</v>
      </c>
      <c r="D21">
        <f>$B$2*_xlfn.STDEV.S(Macro!G$2:G$50)</f>
        <v>0.47598581911649429</v>
      </c>
      <c r="E21">
        <f>$B$2*_xlfn.STDEV.S(Macro!D$2:D$50)</f>
        <v>0.82959133913390537</v>
      </c>
      <c r="F21">
        <f>$B$2*_xlfn.STDEV.S(Macro!E$2:E$50)</f>
        <v>660.9945321677227</v>
      </c>
      <c r="G21">
        <f>$B$2*_xlfn.STDEV.S(Macro!F$2:F$50)</f>
        <v>3.4879657387158707</v>
      </c>
      <c r="H21">
        <f>$B$2*_xlfn.STDEV.S(Macro!I$2:I$50)</f>
        <v>1.4544218608633706</v>
      </c>
      <c r="I21">
        <f>$B$2*_xlfn.STDEV.S(Macro!J$2:J$50)</f>
        <v>0.17626536892310304</v>
      </c>
      <c r="J21">
        <f>$B$2*_xlfn.STDEV.S(Macro!K$2:K$50)</f>
        <v>0.57360029580851546</v>
      </c>
    </row>
    <row r="22" spans="1:10" x14ac:dyDescent="0.45">
      <c r="A22" s="3">
        <v>46752</v>
      </c>
      <c r="B22">
        <v>271</v>
      </c>
      <c r="C22">
        <f>$B$2*_xlfn.STDEV.S(Macro!C$2:C$50)</f>
        <v>1.1567636706025346</v>
      </c>
      <c r="D22">
        <f>$B$2*_xlfn.STDEV.S(Macro!G$2:G$50)</f>
        <v>0.47598581911649429</v>
      </c>
      <c r="E22">
        <f>$B$2*_xlfn.STDEV.S(Macro!D$2:D$50)</f>
        <v>0.82959133913390537</v>
      </c>
      <c r="F22">
        <f>$B$2*_xlfn.STDEV.S(Macro!E$2:E$50)</f>
        <v>660.9945321677227</v>
      </c>
      <c r="G22">
        <f>$B$2*_xlfn.STDEV.S(Macro!F$2:F$50)</f>
        <v>3.4879657387158707</v>
      </c>
      <c r="H22">
        <f>$B$2*_xlfn.STDEV.S(Macro!I$2:I$50)</f>
        <v>1.4544218608633706</v>
      </c>
      <c r="I22">
        <f>$B$2*_xlfn.STDEV.S(Macro!J$2:J$50)</f>
        <v>0.17626536892310304</v>
      </c>
      <c r="J22">
        <f>$B$2*_xlfn.STDEV.S(Macro!K$2:K$50)</f>
        <v>0.57360029580851546</v>
      </c>
    </row>
  </sheetData>
  <mergeCells count="2">
    <mergeCell ref="A4:G4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9C0-5B3E-4E01-ADE7-D48E04462C58}">
  <dimension ref="A1:L50"/>
  <sheetViews>
    <sheetView tabSelected="1" workbookViewId="0">
      <selection activeCell="H25" sqref="H25"/>
    </sheetView>
  </sheetViews>
  <sheetFormatPr defaultRowHeight="14.25" x14ac:dyDescent="0.45"/>
  <cols>
    <col min="1" max="1" width="11.19921875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9</v>
      </c>
      <c r="I1" s="2" t="s">
        <v>7</v>
      </c>
      <c r="J1" s="2" t="s">
        <v>8</v>
      </c>
      <c r="K1" t="s">
        <v>25</v>
      </c>
      <c r="L1" t="s">
        <v>26</v>
      </c>
    </row>
    <row r="2" spans="1:12" x14ac:dyDescent="0.45">
      <c r="A2" s="3">
        <v>41820</v>
      </c>
      <c r="B2" s="4">
        <v>217</v>
      </c>
      <c r="C2" s="2">
        <v>4.9400000000000004</v>
      </c>
      <c r="D2" s="2">
        <v>6.7</v>
      </c>
      <c r="E2" s="2">
        <v>11855</v>
      </c>
      <c r="F2" s="2">
        <v>85.750546677809965</v>
      </c>
      <c r="G2" s="5">
        <v>6.25</v>
      </c>
      <c r="H2" s="5"/>
      <c r="I2" s="2"/>
      <c r="K2">
        <v>2.5304000000000002</v>
      </c>
      <c r="L2">
        <v>8.2129999999999992</v>
      </c>
    </row>
    <row r="3" spans="1:12" x14ac:dyDescent="0.45">
      <c r="A3" s="3">
        <v>41912</v>
      </c>
      <c r="B3" s="4">
        <f t="shared" ref="B3:B37" si="0">B2+1</f>
        <v>218</v>
      </c>
      <c r="C3" s="2">
        <v>4.93</v>
      </c>
      <c r="D3" s="2">
        <v>4.53</v>
      </c>
      <c r="E3" s="2">
        <v>12182.5</v>
      </c>
      <c r="F3" s="2">
        <v>87.002504658088114</v>
      </c>
      <c r="G3" s="5">
        <v>6.25</v>
      </c>
      <c r="H3" s="5">
        <f t="shared" ref="H3:H42" si="1">G3-G2</f>
        <v>0</v>
      </c>
      <c r="I3" s="2">
        <f>-Haircut!$H$1*(L3-L2)</f>
        <v>-1.540000000000008</v>
      </c>
      <c r="J3">
        <f>F3-F2</f>
        <v>1.2519579802781493</v>
      </c>
      <c r="K3">
        <v>2.4887999999999999</v>
      </c>
      <c r="L3">
        <v>8.5210000000000008</v>
      </c>
    </row>
    <row r="4" spans="1:12" x14ac:dyDescent="0.45">
      <c r="A4" s="3">
        <v>42004</v>
      </c>
      <c r="B4" s="4">
        <f t="shared" si="0"/>
        <v>219</v>
      </c>
      <c r="C4" s="2">
        <v>5.05</v>
      </c>
      <c r="D4" s="2">
        <v>8.36</v>
      </c>
      <c r="E4" s="2">
        <v>12385</v>
      </c>
      <c r="F4" s="2">
        <v>88.342343228623307</v>
      </c>
      <c r="G4" s="5">
        <v>6.5</v>
      </c>
      <c r="H4" s="5">
        <f t="shared" si="1"/>
        <v>0.25</v>
      </c>
      <c r="I4" s="2">
        <f>-Haircut!$H$1*(L4-L3)</f>
        <v>3.6250000000000027</v>
      </c>
      <c r="J4">
        <f t="shared" ref="J4:J32" si="2">F4-F3</f>
        <v>1.3398385705351927</v>
      </c>
      <c r="K4">
        <v>2.1711999999999998</v>
      </c>
      <c r="L4">
        <v>7.7960000000000003</v>
      </c>
    </row>
    <row r="5" spans="1:12" x14ac:dyDescent="0.45">
      <c r="A5" s="3">
        <v>42094</v>
      </c>
      <c r="B5" s="4">
        <f t="shared" si="0"/>
        <v>220</v>
      </c>
      <c r="C5" s="2">
        <v>4.83</v>
      </c>
      <c r="D5" s="2">
        <v>6.38</v>
      </c>
      <c r="E5" s="2">
        <v>13075</v>
      </c>
      <c r="F5" s="2">
        <v>89.614472969605799</v>
      </c>
      <c r="G5" s="5">
        <v>6.25</v>
      </c>
      <c r="H5" s="5">
        <f t="shared" si="1"/>
        <v>-0.25</v>
      </c>
      <c r="I5" s="2">
        <f>-Haircut!$H$1*(L5-L4)</f>
        <v>1.1949999999999994</v>
      </c>
      <c r="J5">
        <f t="shared" si="2"/>
        <v>1.2721297409824928</v>
      </c>
      <c r="K5">
        <v>1.9231</v>
      </c>
      <c r="L5">
        <v>7.5570000000000004</v>
      </c>
    </row>
    <row r="6" spans="1:12" x14ac:dyDescent="0.45">
      <c r="A6" s="3">
        <v>42185</v>
      </c>
      <c r="B6" s="4">
        <f t="shared" si="0"/>
        <v>221</v>
      </c>
      <c r="C6" s="2">
        <v>4.74</v>
      </c>
      <c r="D6" s="2">
        <v>7.26</v>
      </c>
      <c r="E6" s="2">
        <v>13332.8</v>
      </c>
      <c r="F6" s="2">
        <v>90.851152700601801</v>
      </c>
      <c r="G6" s="5">
        <v>6.25</v>
      </c>
      <c r="H6" s="5">
        <f t="shared" si="1"/>
        <v>0</v>
      </c>
      <c r="I6" s="2">
        <f>-Haircut!$H$1*(L6-L5)</f>
        <v>-4.1299999999999937</v>
      </c>
      <c r="J6">
        <f t="shared" si="2"/>
        <v>1.236679730996002</v>
      </c>
      <c r="K6">
        <v>2.3531</v>
      </c>
      <c r="L6">
        <v>8.3829999999999991</v>
      </c>
    </row>
    <row r="7" spans="1:12" x14ac:dyDescent="0.45">
      <c r="A7" s="3">
        <v>42277</v>
      </c>
      <c r="B7" s="4">
        <f t="shared" si="0"/>
        <v>222</v>
      </c>
      <c r="C7" s="2">
        <v>4.78</v>
      </c>
      <c r="D7" s="2">
        <v>6.83</v>
      </c>
      <c r="E7" s="2">
        <v>14651.3</v>
      </c>
      <c r="F7" s="2">
        <v>91.750579109754199</v>
      </c>
      <c r="G7" s="5">
        <v>6.25</v>
      </c>
      <c r="H7" s="5">
        <f t="shared" si="1"/>
        <v>0</v>
      </c>
      <c r="I7" s="2">
        <f>-Haircut!$H$1*(L7-L6)</f>
        <v>-6.540000000000008</v>
      </c>
      <c r="J7">
        <f t="shared" si="2"/>
        <v>0.89942640915239735</v>
      </c>
      <c r="K7">
        <v>2.0367999999999999</v>
      </c>
      <c r="L7">
        <v>9.6910000000000007</v>
      </c>
    </row>
    <row r="8" spans="1:12" x14ac:dyDescent="0.45">
      <c r="A8" s="3">
        <v>42369</v>
      </c>
      <c r="B8" s="4">
        <f t="shared" si="0"/>
        <v>223</v>
      </c>
      <c r="C8" s="2">
        <v>5.15</v>
      </c>
      <c r="D8" s="2">
        <v>3.35</v>
      </c>
      <c r="E8" s="2">
        <v>13787.5</v>
      </c>
      <c r="F8" s="2">
        <v>92.420358336114873</v>
      </c>
      <c r="G8" s="5">
        <v>6.25</v>
      </c>
      <c r="H8" s="5">
        <f t="shared" si="1"/>
        <v>0</v>
      </c>
      <c r="I8" s="2">
        <f>-Haircut!$H$1*(L8-L7)</f>
        <v>3.490000000000002</v>
      </c>
      <c r="J8">
        <f t="shared" si="2"/>
        <v>0.66977922636067433</v>
      </c>
      <c r="K8">
        <v>2.2694000000000001</v>
      </c>
      <c r="L8">
        <v>8.9930000000000003</v>
      </c>
    </row>
    <row r="9" spans="1:12" x14ac:dyDescent="0.45">
      <c r="A9" s="3">
        <v>42460</v>
      </c>
      <c r="B9" s="4">
        <f t="shared" si="0"/>
        <v>224</v>
      </c>
      <c r="C9" s="2">
        <v>4.9400000000000004</v>
      </c>
      <c r="D9" s="2">
        <v>4.45</v>
      </c>
      <c r="E9" s="2">
        <v>13260</v>
      </c>
      <c r="F9" s="2">
        <v>93.335319883508177</v>
      </c>
      <c r="G9" s="5">
        <v>5.5</v>
      </c>
      <c r="H9" s="5">
        <f t="shared" si="1"/>
        <v>-0.75</v>
      </c>
      <c r="I9" s="2">
        <f>-Haircut!$H$1*(L9-L8)</f>
        <v>6.6250000000000009</v>
      </c>
      <c r="J9">
        <f t="shared" si="2"/>
        <v>0.91496154739330393</v>
      </c>
      <c r="K9">
        <v>1.7686999999999999</v>
      </c>
      <c r="L9">
        <v>7.6680000000000001</v>
      </c>
    </row>
    <row r="10" spans="1:12" x14ac:dyDescent="0.45">
      <c r="A10" s="3">
        <v>42551</v>
      </c>
      <c r="B10" s="4">
        <f t="shared" si="0"/>
        <v>225</v>
      </c>
      <c r="C10" s="2">
        <v>5.21</v>
      </c>
      <c r="D10" s="2">
        <v>3.45</v>
      </c>
      <c r="E10" s="2">
        <v>13220</v>
      </c>
      <c r="F10" s="2">
        <v>93.932665931961026</v>
      </c>
      <c r="G10" s="5">
        <v>5.25</v>
      </c>
      <c r="H10" s="5">
        <f t="shared" si="1"/>
        <v>-0.25</v>
      </c>
      <c r="I10" s="2">
        <f>-Haircut!$H$1*(L10-L9)</f>
        <v>1.0749999999999993</v>
      </c>
      <c r="J10">
        <f t="shared" si="2"/>
        <v>0.59734604845284878</v>
      </c>
      <c r="K10">
        <v>1.4697</v>
      </c>
      <c r="L10">
        <v>7.4530000000000003</v>
      </c>
    </row>
    <row r="11" spans="1:12" x14ac:dyDescent="0.45">
      <c r="A11" s="3">
        <v>42643</v>
      </c>
      <c r="B11" s="4">
        <f t="shared" si="0"/>
        <v>226</v>
      </c>
      <c r="C11" s="2">
        <v>5.03</v>
      </c>
      <c r="D11" s="2">
        <v>3.07</v>
      </c>
      <c r="E11" s="2">
        <v>13051</v>
      </c>
      <c r="F11" s="2">
        <v>94.270823530370535</v>
      </c>
      <c r="G11" s="5">
        <v>4.75</v>
      </c>
      <c r="H11" s="5">
        <f t="shared" si="1"/>
        <v>-0.5</v>
      </c>
      <c r="I11" s="2">
        <f>-Haircut!$H$1*(L11-L10)</f>
        <v>1.9600000000000017</v>
      </c>
      <c r="J11">
        <f t="shared" si="2"/>
        <v>0.33815759840950932</v>
      </c>
      <c r="K11">
        <v>1.5944</v>
      </c>
      <c r="L11">
        <v>7.0609999999999999</v>
      </c>
    </row>
    <row r="12" spans="1:12" x14ac:dyDescent="0.45">
      <c r="A12" s="3">
        <v>42735</v>
      </c>
      <c r="B12" s="4">
        <f t="shared" si="0"/>
        <v>227</v>
      </c>
      <c r="C12" s="2">
        <v>4.9400000000000004</v>
      </c>
      <c r="D12" s="2">
        <v>3.02</v>
      </c>
      <c r="E12" s="2">
        <v>13472.5</v>
      </c>
      <c r="F12" s="2">
        <v>94.619625576523404</v>
      </c>
      <c r="G12" s="5">
        <v>4.75</v>
      </c>
      <c r="H12" s="5">
        <f t="shared" si="1"/>
        <v>0</v>
      </c>
      <c r="I12" s="2">
        <f>-Haircut!$H$1*(L12-L11)</f>
        <v>-4.5599999999999996</v>
      </c>
      <c r="J12">
        <f t="shared" si="2"/>
        <v>0.34880204615286914</v>
      </c>
      <c r="K12">
        <v>2.4443000000000001</v>
      </c>
      <c r="L12">
        <v>7.9729999999999999</v>
      </c>
    </row>
    <row r="13" spans="1:12" x14ac:dyDescent="0.45">
      <c r="A13" s="3">
        <v>42825</v>
      </c>
      <c r="B13" s="4">
        <f t="shared" si="0"/>
        <v>228</v>
      </c>
      <c r="C13" s="2">
        <v>5.01</v>
      </c>
      <c r="D13" s="2">
        <v>3.61</v>
      </c>
      <c r="E13" s="2">
        <v>13325.5</v>
      </c>
      <c r="F13" s="2">
        <v>95.783446972499817</v>
      </c>
      <c r="G13" s="5">
        <v>4.75</v>
      </c>
      <c r="H13" s="5">
        <f t="shared" si="1"/>
        <v>0</v>
      </c>
      <c r="I13" s="2">
        <f>-Haircut!$H$1*(L13-L12)</f>
        <v>4.6499999999999986</v>
      </c>
      <c r="J13">
        <f t="shared" si="2"/>
        <v>1.163821395976413</v>
      </c>
      <c r="K13">
        <v>2.3874</v>
      </c>
      <c r="L13">
        <v>7.0430000000000001</v>
      </c>
    </row>
    <row r="14" spans="1:12" x14ac:dyDescent="0.45">
      <c r="A14" s="3">
        <v>42916</v>
      </c>
      <c r="B14" s="4">
        <f t="shared" si="0"/>
        <v>229</v>
      </c>
      <c r="C14" s="2">
        <v>5.01</v>
      </c>
      <c r="D14" s="2">
        <v>4.37</v>
      </c>
      <c r="E14" s="2">
        <v>13327.5</v>
      </c>
      <c r="F14" s="2">
        <v>96.913691646977639</v>
      </c>
      <c r="G14" s="5">
        <v>4.75</v>
      </c>
      <c r="H14" s="5">
        <f t="shared" si="1"/>
        <v>0</v>
      </c>
      <c r="I14" s="2">
        <f>-Haircut!$H$1*(L14-L13)</f>
        <v>1.0700000000000021</v>
      </c>
      <c r="J14">
        <f t="shared" si="2"/>
        <v>1.1302446744778223</v>
      </c>
      <c r="K14">
        <v>2.3037000000000001</v>
      </c>
      <c r="L14">
        <v>6.8289999999999997</v>
      </c>
    </row>
    <row r="15" spans="1:12" x14ac:dyDescent="0.45">
      <c r="A15" s="3">
        <v>43008</v>
      </c>
      <c r="B15" s="4">
        <f t="shared" si="0"/>
        <v>230</v>
      </c>
      <c r="C15" s="2">
        <v>5.0599999999999996</v>
      </c>
      <c r="D15" s="2">
        <v>3.72</v>
      </c>
      <c r="E15" s="2">
        <v>13471.5</v>
      </c>
      <c r="F15" s="2">
        <v>97.398260106063674</v>
      </c>
      <c r="G15" s="5">
        <v>4.25</v>
      </c>
      <c r="H15" s="5">
        <f t="shared" si="1"/>
        <v>-0.5</v>
      </c>
      <c r="I15" s="2">
        <f>-Haircut!$H$1*(L15-L14)</f>
        <v>1.6599999999999993</v>
      </c>
      <c r="J15">
        <f t="shared" si="2"/>
        <v>0.48456845908603441</v>
      </c>
      <c r="K15">
        <v>2.3336000000000001</v>
      </c>
      <c r="L15">
        <v>6.4969999999999999</v>
      </c>
    </row>
    <row r="16" spans="1:12" x14ac:dyDescent="0.45">
      <c r="A16" s="3">
        <v>43100</v>
      </c>
      <c r="B16" s="4">
        <f t="shared" si="0"/>
        <v>231</v>
      </c>
      <c r="C16" s="2">
        <v>5.19</v>
      </c>
      <c r="D16" s="2">
        <v>3.61</v>
      </c>
      <c r="E16" s="2">
        <v>13567.5</v>
      </c>
      <c r="F16" s="2">
        <v>97.933950533084385</v>
      </c>
      <c r="G16" s="5">
        <v>4.25</v>
      </c>
      <c r="H16" s="5">
        <f t="shared" si="1"/>
        <v>0</v>
      </c>
      <c r="I16" s="2">
        <f>-Haircut!$H$1*(L16-L15)</f>
        <v>0.88999999999999968</v>
      </c>
      <c r="J16">
        <f t="shared" si="2"/>
        <v>0.53569042702071101</v>
      </c>
      <c r="K16">
        <v>2.4054000000000002</v>
      </c>
      <c r="L16">
        <v>6.319</v>
      </c>
    </row>
    <row r="17" spans="1:12" x14ac:dyDescent="0.45">
      <c r="A17" s="3">
        <v>43190</v>
      </c>
      <c r="B17" s="4">
        <f t="shared" si="0"/>
        <v>232</v>
      </c>
      <c r="C17" s="2">
        <v>5.07</v>
      </c>
      <c r="D17" s="2">
        <v>3.4</v>
      </c>
      <c r="E17" s="2">
        <v>13767.5</v>
      </c>
      <c r="F17" s="2">
        <v>99.320836279999995</v>
      </c>
      <c r="G17" s="5">
        <v>4.25</v>
      </c>
      <c r="H17" s="5">
        <f t="shared" si="1"/>
        <v>0</v>
      </c>
      <c r="I17" s="2">
        <f>-Haircut!$H$1*(L17-L16)</f>
        <v>-1.7799999999999994</v>
      </c>
      <c r="J17">
        <f t="shared" si="2"/>
        <v>1.3868857469156097</v>
      </c>
      <c r="K17">
        <v>2.7389000000000001</v>
      </c>
      <c r="L17">
        <v>6.6749999999999998</v>
      </c>
    </row>
    <row r="18" spans="1:12" x14ac:dyDescent="0.45">
      <c r="A18" s="3">
        <v>43281</v>
      </c>
      <c r="B18" s="4">
        <f t="shared" si="0"/>
        <v>233</v>
      </c>
      <c r="C18" s="2">
        <v>5.27</v>
      </c>
      <c r="D18" s="2">
        <v>3.12</v>
      </c>
      <c r="E18" s="2">
        <v>14330</v>
      </c>
      <c r="F18" s="2">
        <v>99.900196460000004</v>
      </c>
      <c r="G18" s="5">
        <v>5.25</v>
      </c>
      <c r="H18" s="5">
        <f t="shared" si="1"/>
        <v>1</v>
      </c>
      <c r="I18" s="2">
        <f>-Haircut!$H$1*(L18-L17)</f>
        <v>-5.6099999999999994</v>
      </c>
      <c r="J18">
        <f t="shared" si="2"/>
        <v>0.579360180000009</v>
      </c>
      <c r="K18">
        <v>2.8601000000000001</v>
      </c>
      <c r="L18">
        <v>7.7969999999999997</v>
      </c>
    </row>
    <row r="19" spans="1:12" x14ac:dyDescent="0.45">
      <c r="A19" s="3">
        <v>43373</v>
      </c>
      <c r="B19" s="4">
        <f t="shared" si="0"/>
        <v>234</v>
      </c>
      <c r="C19" s="2">
        <v>5.17</v>
      </c>
      <c r="D19" s="2">
        <v>2.88</v>
      </c>
      <c r="E19" s="2">
        <v>14902.5</v>
      </c>
      <c r="F19" s="2">
        <v>100.21037908</v>
      </c>
      <c r="G19" s="5">
        <v>5.75</v>
      </c>
      <c r="H19" s="5">
        <f t="shared" si="1"/>
        <v>0.5</v>
      </c>
      <c r="I19" s="2">
        <f>-Haircut!$H$1*(L19-L18)</f>
        <v>-1.5900000000000025</v>
      </c>
      <c r="J19">
        <f t="shared" si="2"/>
        <v>0.31018261999999197</v>
      </c>
      <c r="K19">
        <v>3.0611999999999999</v>
      </c>
      <c r="L19">
        <v>8.1150000000000002</v>
      </c>
    </row>
    <row r="20" spans="1:12" x14ac:dyDescent="0.45">
      <c r="A20" s="3">
        <v>43465</v>
      </c>
      <c r="B20" s="4">
        <f t="shared" si="0"/>
        <v>235</v>
      </c>
      <c r="C20" s="2">
        <v>5.18</v>
      </c>
      <c r="D20" s="2">
        <v>3.13</v>
      </c>
      <c r="E20" s="2">
        <v>14390</v>
      </c>
      <c r="F20" s="2">
        <v>100.56858818000001</v>
      </c>
      <c r="G20" s="5">
        <v>6</v>
      </c>
      <c r="H20" s="5">
        <f t="shared" si="1"/>
        <v>0.25</v>
      </c>
      <c r="I20" s="2">
        <f>-Haircut!$H$1*(L20-L19)</f>
        <v>0.44999999999999929</v>
      </c>
      <c r="J20">
        <f t="shared" si="2"/>
        <v>0.35820910000001049</v>
      </c>
      <c r="K20">
        <v>2.6842000000000001</v>
      </c>
      <c r="L20">
        <v>8.0250000000000004</v>
      </c>
    </row>
    <row r="21" spans="1:12" x14ac:dyDescent="0.45">
      <c r="A21" s="3">
        <v>43555</v>
      </c>
      <c r="B21" s="4">
        <f t="shared" si="0"/>
        <v>236</v>
      </c>
      <c r="C21" s="2">
        <v>5.0599999999999996</v>
      </c>
      <c r="D21" s="2">
        <v>2.5299999999999998</v>
      </c>
      <c r="E21" s="2">
        <v>14240.5</v>
      </c>
      <c r="F21" s="2">
        <v>100.94468224000001</v>
      </c>
      <c r="G21" s="5">
        <v>6</v>
      </c>
      <c r="H21" s="5">
        <f t="shared" si="1"/>
        <v>0</v>
      </c>
      <c r="I21" s="2">
        <f>-Haircut!$H$1*(L21-L20)</f>
        <v>1.9600000000000017</v>
      </c>
      <c r="J21">
        <f t="shared" si="2"/>
        <v>0.37609405999999979</v>
      </c>
      <c r="K21">
        <v>2.4049999999999998</v>
      </c>
      <c r="L21">
        <v>7.633</v>
      </c>
    </row>
    <row r="22" spans="1:12" x14ac:dyDescent="0.45">
      <c r="A22" s="3">
        <v>43646</v>
      </c>
      <c r="B22" s="4">
        <f t="shared" si="0"/>
        <v>237</v>
      </c>
      <c r="C22" s="2">
        <v>5.05</v>
      </c>
      <c r="D22" s="2">
        <v>2.84</v>
      </c>
      <c r="E22" s="2">
        <v>14127.5</v>
      </c>
      <c r="F22" s="2">
        <v>101.15894717</v>
      </c>
      <c r="G22" s="5">
        <v>6</v>
      </c>
      <c r="H22" s="5">
        <f t="shared" si="1"/>
        <v>0</v>
      </c>
      <c r="I22" s="2">
        <f>-Haircut!$H$1*(L22-L21)</f>
        <v>1.3249999999999984</v>
      </c>
      <c r="J22">
        <f t="shared" si="2"/>
        <v>0.2142649299999988</v>
      </c>
      <c r="K22">
        <v>2.0051000000000001</v>
      </c>
      <c r="L22">
        <v>7.3680000000000003</v>
      </c>
    </row>
    <row r="23" spans="1:12" x14ac:dyDescent="0.45">
      <c r="A23" s="3">
        <v>43738</v>
      </c>
      <c r="B23" s="4">
        <f t="shared" si="0"/>
        <v>238</v>
      </c>
      <c r="C23" s="2">
        <v>5.01</v>
      </c>
      <c r="D23" s="2">
        <v>3.12</v>
      </c>
      <c r="E23" s="2">
        <v>14195</v>
      </c>
      <c r="F23" s="2">
        <v>101.46495437</v>
      </c>
      <c r="G23" s="5">
        <v>5.25</v>
      </c>
      <c r="H23" s="5">
        <f t="shared" si="1"/>
        <v>-0.75</v>
      </c>
      <c r="I23" s="2">
        <f>-Haircut!$H$1*(L23-L22)</f>
        <v>0.40000000000000036</v>
      </c>
      <c r="J23">
        <f t="shared" si="2"/>
        <v>0.30600719999999626</v>
      </c>
      <c r="K23">
        <v>1.6646000000000001</v>
      </c>
      <c r="L23">
        <v>7.2880000000000003</v>
      </c>
    </row>
    <row r="24" spans="1:12" x14ac:dyDescent="0.45">
      <c r="A24" s="3">
        <v>43830</v>
      </c>
      <c r="B24" s="4">
        <f t="shared" si="0"/>
        <v>239</v>
      </c>
      <c r="C24" s="2">
        <v>4.96</v>
      </c>
      <c r="D24" s="2">
        <v>2.59</v>
      </c>
      <c r="E24" s="2">
        <v>13865.5</v>
      </c>
      <c r="F24" s="2">
        <v>101.81631125</v>
      </c>
      <c r="G24" s="5">
        <v>5</v>
      </c>
      <c r="H24" s="5">
        <f t="shared" si="1"/>
        <v>-0.25</v>
      </c>
      <c r="I24" s="2">
        <f>-Haircut!$H$1*(L24-L23)</f>
        <v>1.1250000000000027</v>
      </c>
      <c r="J24">
        <f t="shared" si="2"/>
        <v>0.35135687999999732</v>
      </c>
      <c r="K24">
        <v>1.9175</v>
      </c>
      <c r="L24">
        <v>7.0629999999999997</v>
      </c>
    </row>
    <row r="25" spans="1:12" x14ac:dyDescent="0.45">
      <c r="A25" s="3">
        <v>43921</v>
      </c>
      <c r="B25" s="4">
        <f t="shared" si="0"/>
        <v>240</v>
      </c>
      <c r="C25" s="2">
        <v>2.97</v>
      </c>
      <c r="D25" s="2">
        <v>2.96</v>
      </c>
      <c r="E25" s="2">
        <v>16310</v>
      </c>
      <c r="F25" s="2">
        <v>102.25589854</v>
      </c>
      <c r="G25" s="5">
        <v>4.5</v>
      </c>
      <c r="H25" s="5">
        <f t="shared" si="1"/>
        <v>-0.5</v>
      </c>
      <c r="I25" s="2">
        <f>-Haircut!$H$1*(L25-L24)</f>
        <v>-4.2549999999999999</v>
      </c>
      <c r="J25">
        <f t="shared" si="2"/>
        <v>0.43958729000000574</v>
      </c>
      <c r="K25">
        <v>0.66949999999999998</v>
      </c>
      <c r="L25">
        <v>7.9139999999999997</v>
      </c>
    </row>
    <row r="26" spans="1:12" x14ac:dyDescent="0.45">
      <c r="A26" s="3">
        <v>44012</v>
      </c>
      <c r="B26" s="4">
        <f t="shared" si="0"/>
        <v>241</v>
      </c>
      <c r="C26" s="2">
        <v>-5.32</v>
      </c>
      <c r="D26" s="2">
        <v>1.96</v>
      </c>
      <c r="E26" s="2">
        <v>14265</v>
      </c>
      <c r="F26" s="2">
        <v>102.53799170000001</v>
      </c>
      <c r="G26" s="5">
        <v>4.25</v>
      </c>
      <c r="H26" s="5">
        <f t="shared" si="1"/>
        <v>-0.25</v>
      </c>
      <c r="I26" s="2">
        <f>-Haircut!$H$1*(L26-L25)</f>
        <v>3.5250000000000004</v>
      </c>
      <c r="J26">
        <f t="shared" si="2"/>
        <v>0.28209316000000229</v>
      </c>
      <c r="K26">
        <v>0.65610000000000002</v>
      </c>
      <c r="L26">
        <v>7.2089999999999996</v>
      </c>
    </row>
    <row r="27" spans="1:12" x14ac:dyDescent="0.45">
      <c r="A27" s="3">
        <v>44104</v>
      </c>
      <c r="B27" s="4">
        <f t="shared" si="0"/>
        <v>242</v>
      </c>
      <c r="C27" s="2">
        <v>-3.49</v>
      </c>
      <c r="D27" s="2">
        <v>1.42</v>
      </c>
      <c r="E27" s="2">
        <v>14880</v>
      </c>
      <c r="F27" s="2">
        <v>102.73573463</v>
      </c>
      <c r="G27" s="5">
        <v>4</v>
      </c>
      <c r="H27" s="5">
        <f t="shared" si="1"/>
        <v>-0.25</v>
      </c>
      <c r="I27" s="2">
        <f>-Haircut!$H$1*(L27-L26)</f>
        <v>1.2349999999999994</v>
      </c>
      <c r="J27">
        <f t="shared" si="2"/>
        <v>0.19774292999998977</v>
      </c>
      <c r="K27">
        <v>0.68400000000000005</v>
      </c>
      <c r="L27">
        <v>6.9619999999999997</v>
      </c>
    </row>
    <row r="28" spans="1:12" x14ac:dyDescent="0.45">
      <c r="A28" s="3">
        <v>44196</v>
      </c>
      <c r="B28" s="4">
        <f t="shared" si="0"/>
        <v>243</v>
      </c>
      <c r="C28" s="2">
        <v>-2.17</v>
      </c>
      <c r="D28" s="2">
        <v>1.68</v>
      </c>
      <c r="E28" s="2">
        <v>14050</v>
      </c>
      <c r="F28" s="2">
        <v>102.98548804000001</v>
      </c>
      <c r="G28" s="5">
        <v>3.75</v>
      </c>
      <c r="H28" s="5">
        <f t="shared" si="1"/>
        <v>-0.25</v>
      </c>
      <c r="I28" s="2">
        <f>-Haircut!$H$1*(L28-L27)</f>
        <v>5.3799999999999981</v>
      </c>
      <c r="J28">
        <f t="shared" si="2"/>
        <v>0.24975341000001094</v>
      </c>
      <c r="K28">
        <v>0.91320000000000001</v>
      </c>
      <c r="L28">
        <v>5.8860000000000001</v>
      </c>
    </row>
    <row r="29" spans="1:12" x14ac:dyDescent="0.45">
      <c r="A29" s="3">
        <v>44286</v>
      </c>
      <c r="B29" s="4">
        <f t="shared" si="0"/>
        <v>244</v>
      </c>
      <c r="C29" s="2">
        <v>-0.69</v>
      </c>
      <c r="D29" s="2">
        <v>1.37</v>
      </c>
      <c r="E29" s="2">
        <v>14525</v>
      </c>
      <c r="F29" s="2">
        <v>103.24159856</v>
      </c>
      <c r="G29" s="5">
        <v>3.5000000000000004</v>
      </c>
      <c r="H29" s="5">
        <f t="shared" si="1"/>
        <v>-0.24999999999999956</v>
      </c>
      <c r="I29" s="2">
        <f>-Haircut!$H$1*(L29-L28)</f>
        <v>-4.4550000000000001</v>
      </c>
      <c r="J29">
        <f t="shared" si="2"/>
        <v>0.2561105199999929</v>
      </c>
      <c r="K29">
        <v>1.7403999999999999</v>
      </c>
      <c r="L29">
        <v>6.7770000000000001</v>
      </c>
    </row>
    <row r="30" spans="1:12" x14ac:dyDescent="0.45">
      <c r="A30" s="3">
        <v>44377</v>
      </c>
      <c r="B30" s="4">
        <f t="shared" si="0"/>
        <v>245</v>
      </c>
      <c r="C30" s="2">
        <v>7.08</v>
      </c>
      <c r="D30" s="2">
        <v>1.33</v>
      </c>
      <c r="E30" s="2">
        <v>14500</v>
      </c>
      <c r="F30" s="2">
        <v>103.5186262</v>
      </c>
      <c r="G30" s="5">
        <v>3.5000000000000004</v>
      </c>
      <c r="H30" s="5">
        <f t="shared" si="1"/>
        <v>0</v>
      </c>
      <c r="I30" s="2">
        <f>-Haircut!$H$1*(L30-L29)</f>
        <v>0.93500000000000139</v>
      </c>
      <c r="J30">
        <f t="shared" si="2"/>
        <v>0.27702764000000002</v>
      </c>
      <c r="K30">
        <v>1.468</v>
      </c>
      <c r="L30">
        <v>6.59</v>
      </c>
    </row>
    <row r="31" spans="1:12" x14ac:dyDescent="0.45">
      <c r="A31" s="3">
        <v>44469</v>
      </c>
      <c r="B31" s="4">
        <f t="shared" si="0"/>
        <v>246</v>
      </c>
      <c r="C31" s="2">
        <v>3.53</v>
      </c>
      <c r="D31" s="2">
        <v>1.6</v>
      </c>
      <c r="E31" s="2">
        <v>14312.5</v>
      </c>
      <c r="F31" s="2">
        <v>103.79016865</v>
      </c>
      <c r="G31" s="5">
        <v>3.5000000000000004</v>
      </c>
      <c r="H31" s="5">
        <f t="shared" si="1"/>
        <v>0</v>
      </c>
      <c r="I31" s="2">
        <f>-Haircut!$H$1*(L31-L30)</f>
        <v>1.6449999999999987</v>
      </c>
      <c r="J31">
        <f t="shared" si="2"/>
        <v>0.27154244999999833</v>
      </c>
      <c r="K31">
        <v>1.4873000000000001</v>
      </c>
      <c r="L31">
        <v>6.2610000000000001</v>
      </c>
    </row>
    <row r="32" spans="1:12" x14ac:dyDescent="0.45">
      <c r="A32" s="3">
        <v>44561</v>
      </c>
      <c r="B32" s="4">
        <f t="shared" si="0"/>
        <v>247</v>
      </c>
      <c r="C32" s="2">
        <v>5.03</v>
      </c>
      <c r="D32" s="2">
        <v>1.87</v>
      </c>
      <c r="E32" s="2">
        <v>14252.5</v>
      </c>
      <c r="F32" s="2">
        <v>104.21266866000001</v>
      </c>
      <c r="G32" s="5">
        <v>3.5000000000000004</v>
      </c>
      <c r="H32" s="5">
        <f t="shared" si="1"/>
        <v>0</v>
      </c>
      <c r="I32" s="2">
        <f>-Haircut!$H$1*(L32-L31)</f>
        <v>-0.60499999999999776</v>
      </c>
      <c r="J32">
        <f t="shared" si="2"/>
        <v>0.42250001000000736</v>
      </c>
      <c r="K32">
        <v>1.5101</v>
      </c>
      <c r="L32">
        <v>6.3819999999999997</v>
      </c>
    </row>
    <row r="33" spans="1:12" x14ac:dyDescent="0.45">
      <c r="A33" s="3">
        <v>44651</v>
      </c>
      <c r="B33" s="4">
        <f t="shared" si="0"/>
        <v>248</v>
      </c>
      <c r="C33" s="2">
        <v>5.0199999999999996</v>
      </c>
      <c r="D33" s="2">
        <v>2.64</v>
      </c>
      <c r="E33" s="2">
        <v>14369</v>
      </c>
      <c r="F33" s="2">
        <v>104.87</v>
      </c>
      <c r="G33" s="5">
        <v>3.5000000000000004</v>
      </c>
      <c r="H33" s="5">
        <f t="shared" si="1"/>
        <v>0</v>
      </c>
      <c r="I33" s="2">
        <f>-Haircut!$H$1*(L33-L32)</f>
        <v>-1.7800000000000038</v>
      </c>
      <c r="J33">
        <v>0.65733133999999893</v>
      </c>
      <c r="K33">
        <v>2.3380000000000001</v>
      </c>
      <c r="L33">
        <v>6.7380000000000004</v>
      </c>
    </row>
    <row r="34" spans="1:12" x14ac:dyDescent="0.45">
      <c r="A34" s="3">
        <v>44742</v>
      </c>
      <c r="B34" s="4">
        <f t="shared" si="0"/>
        <v>249</v>
      </c>
      <c r="C34" s="2">
        <v>5.46</v>
      </c>
      <c r="D34" s="2">
        <v>4.3499999999999996</v>
      </c>
      <c r="E34" s="2">
        <v>14897.5</v>
      </c>
      <c r="F34" s="2">
        <v>105.23</v>
      </c>
      <c r="G34" s="5">
        <v>3.5000000000000004</v>
      </c>
      <c r="H34" s="5">
        <f t="shared" si="1"/>
        <v>0</v>
      </c>
      <c r="I34" s="2">
        <f>-Haircut!$H$1*(L34-L33)</f>
        <v>-2.4099999999999966</v>
      </c>
      <c r="J34">
        <v>0.35999999999999943</v>
      </c>
      <c r="K34">
        <v>3.0129000000000001</v>
      </c>
      <c r="L34">
        <v>7.22</v>
      </c>
    </row>
    <row r="35" spans="1:12" x14ac:dyDescent="0.45">
      <c r="A35" s="3">
        <v>44834</v>
      </c>
      <c r="B35" s="4">
        <f t="shared" si="0"/>
        <v>250</v>
      </c>
      <c r="C35" s="2">
        <v>5.73</v>
      </c>
      <c r="D35" s="2">
        <v>5.95</v>
      </c>
      <c r="E35" s="2">
        <v>15227.5</v>
      </c>
      <c r="F35" s="2">
        <v>105.8</v>
      </c>
      <c r="G35" s="5">
        <v>4.25</v>
      </c>
      <c r="H35" s="5">
        <f t="shared" si="1"/>
        <v>0.74999999999999956</v>
      </c>
      <c r="I35" s="2">
        <f>-Haircut!$H$1*(L35-L34)</f>
        <v>-0.76500000000000234</v>
      </c>
      <c r="J35">
        <v>0.56999999999999318</v>
      </c>
      <c r="K35">
        <v>3.8285999999999998</v>
      </c>
      <c r="L35">
        <v>7.3730000000000002</v>
      </c>
    </row>
    <row r="36" spans="1:12" x14ac:dyDescent="0.45">
      <c r="A36" s="3">
        <v>44926</v>
      </c>
      <c r="B36" s="4">
        <f t="shared" si="0"/>
        <v>251</v>
      </c>
      <c r="C36" s="2">
        <v>5.01</v>
      </c>
      <c r="D36" s="2">
        <v>5.51</v>
      </c>
      <c r="E36" s="2">
        <v>15567.5</v>
      </c>
      <c r="F36" s="2">
        <v>106.3</v>
      </c>
      <c r="G36" s="5">
        <v>5.5</v>
      </c>
      <c r="H36" s="5">
        <f t="shared" si="1"/>
        <v>1.25</v>
      </c>
      <c r="I36" s="2">
        <f>-Haircut!$H$1*(L36-L35)</f>
        <v>2.1649999999999991</v>
      </c>
      <c r="J36">
        <v>0.5</v>
      </c>
      <c r="K36">
        <v>3.8748</v>
      </c>
      <c r="L36">
        <v>6.94</v>
      </c>
    </row>
    <row r="37" spans="1:12" x14ac:dyDescent="0.45">
      <c r="A37" s="3">
        <v>45016</v>
      </c>
      <c r="B37" s="4">
        <f t="shared" si="0"/>
        <v>252</v>
      </c>
      <c r="C37" s="2">
        <v>5.03</v>
      </c>
      <c r="D37" s="2">
        <v>4.97</v>
      </c>
      <c r="E37" s="2">
        <v>14994.5</v>
      </c>
      <c r="F37" s="2">
        <v>106.75</v>
      </c>
      <c r="G37" s="5">
        <v>5.75</v>
      </c>
      <c r="H37" s="5">
        <f t="shared" si="1"/>
        <v>0.25</v>
      </c>
      <c r="I37" s="2">
        <f>-Haircut!$H$1*(L37-L36)</f>
        <v>0.73500000000000121</v>
      </c>
      <c r="J37">
        <v>0.45000000000000284</v>
      </c>
      <c r="K37">
        <v>3.4676</v>
      </c>
      <c r="L37">
        <v>6.7930000000000001</v>
      </c>
    </row>
    <row r="38" spans="1:12" x14ac:dyDescent="0.45">
      <c r="A38" s="3">
        <v>45107</v>
      </c>
      <c r="B38" s="4">
        <v>253</v>
      </c>
      <c r="C38" s="2">
        <v>5.17</v>
      </c>
      <c r="D38" s="2">
        <v>3.52</v>
      </c>
      <c r="E38" s="2">
        <v>14869.85732026</v>
      </c>
      <c r="F38" s="2">
        <v>107.26</v>
      </c>
      <c r="G38" s="5">
        <v>5.75</v>
      </c>
      <c r="H38" s="5">
        <f t="shared" si="1"/>
        <v>0</v>
      </c>
      <c r="I38" s="2">
        <f>-Haircut!$H$1*(L38-L37)</f>
        <v>2.66</v>
      </c>
      <c r="J38">
        <v>0.51000000000000512</v>
      </c>
      <c r="K38">
        <v>3.8367</v>
      </c>
      <c r="L38">
        <v>6.2610000000000001</v>
      </c>
    </row>
    <row r="39" spans="1:12" x14ac:dyDescent="0.45">
      <c r="A39" s="3">
        <v>45199</v>
      </c>
      <c r="B39" s="4">
        <v>254</v>
      </c>
      <c r="C39" s="2">
        <v>4.9400000000000004</v>
      </c>
      <c r="D39" s="2">
        <v>2.2799999999999998</v>
      </c>
      <c r="E39" s="2">
        <v>15213.028863636666</v>
      </c>
      <c r="F39" s="2">
        <v>107.87</v>
      </c>
      <c r="G39" s="5">
        <v>6</v>
      </c>
      <c r="H39" s="5">
        <f t="shared" si="1"/>
        <v>0.25</v>
      </c>
      <c r="I39" s="2">
        <f>-Haircut!$H$1*(L39-L38)</f>
        <v>-3.2649999999999979</v>
      </c>
      <c r="J39">
        <v>0.60999999999999943</v>
      </c>
      <c r="K39">
        <v>4.5711000000000004</v>
      </c>
      <c r="L39">
        <v>6.9139999999999997</v>
      </c>
    </row>
    <row r="40" spans="1:12" x14ac:dyDescent="0.45">
      <c r="A40" s="3">
        <v>45291</v>
      </c>
      <c r="B40" s="4">
        <v>255</v>
      </c>
      <c r="C40" s="2">
        <v>5.04</v>
      </c>
      <c r="D40" s="2">
        <v>2.81</v>
      </c>
      <c r="E40" s="2">
        <v>15629.27</v>
      </c>
      <c r="F40" s="2">
        <v>108.15</v>
      </c>
      <c r="G40" s="5">
        <v>6</v>
      </c>
      <c r="H40" s="5">
        <f t="shared" si="1"/>
        <v>0</v>
      </c>
      <c r="I40" s="2">
        <f>-Haircut!$H$1*(L40-L39)</f>
        <v>2.1699999999999964</v>
      </c>
      <c r="J40">
        <v>0.28000000000000114</v>
      </c>
      <c r="K40">
        <v>3.8791000000000002</v>
      </c>
      <c r="L40">
        <v>6.48</v>
      </c>
    </row>
    <row r="41" spans="1:12" x14ac:dyDescent="0.45">
      <c r="A41" s="3">
        <v>45382</v>
      </c>
      <c r="B41" s="4">
        <v>256</v>
      </c>
      <c r="C41" s="2">
        <v>5.1100000000000003</v>
      </c>
      <c r="D41" s="2">
        <v>3.05</v>
      </c>
      <c r="E41" s="2">
        <v>15656.22</v>
      </c>
      <c r="F41" s="2">
        <v>108.76</v>
      </c>
      <c r="G41" s="5">
        <v>6</v>
      </c>
      <c r="H41" s="5">
        <f t="shared" si="1"/>
        <v>0</v>
      </c>
      <c r="I41" s="2">
        <f>-Haircut!$H$1*(L41-L40)</f>
        <v>-1.0649999999999959</v>
      </c>
      <c r="J41">
        <v>0.60999999999999943</v>
      </c>
      <c r="K41">
        <v>4.2003000000000004</v>
      </c>
      <c r="L41">
        <v>6.6929999999999996</v>
      </c>
    </row>
    <row r="42" spans="1:12" x14ac:dyDescent="0.45">
      <c r="A42" s="1">
        <v>45473</v>
      </c>
      <c r="B42" s="4">
        <v>257</v>
      </c>
      <c r="C42">
        <v>5.05</v>
      </c>
      <c r="D42" s="2">
        <v>2.5099999999999998</v>
      </c>
      <c r="E42" s="2">
        <v>16394</v>
      </c>
      <c r="F42">
        <v>109.15</v>
      </c>
      <c r="G42">
        <v>6.25</v>
      </c>
      <c r="H42" s="6">
        <f t="shared" si="1"/>
        <v>0.25</v>
      </c>
      <c r="I42" s="2">
        <f>-Haircut!$H$1*(L42-L41)</f>
        <v>-1.9000000000000039</v>
      </c>
      <c r="J42">
        <v>0.39000000000000057</v>
      </c>
      <c r="K42">
        <v>4.3960999999999997</v>
      </c>
      <c r="L42">
        <v>7.0730000000000004</v>
      </c>
    </row>
    <row r="43" spans="1:12" x14ac:dyDescent="0.45">
      <c r="A43" s="1">
        <v>45565</v>
      </c>
      <c r="B43">
        <v>258</v>
      </c>
      <c r="C43">
        <v>4.95</v>
      </c>
      <c r="D43">
        <v>1.84</v>
      </c>
      <c r="E43">
        <v>15144</v>
      </c>
      <c r="F43">
        <v>109.44</v>
      </c>
      <c r="G43">
        <v>6</v>
      </c>
      <c r="H43">
        <v>-0.25</v>
      </c>
      <c r="I43">
        <f>-Haircut!$H$1*(L43-L42)</f>
        <v>3.1000000000000005</v>
      </c>
      <c r="J43">
        <v>0.28999999999999204</v>
      </c>
      <c r="K43">
        <v>3.7808999999999999</v>
      </c>
      <c r="L43">
        <v>6.4530000000000003</v>
      </c>
    </row>
    <row r="44" spans="1:12" x14ac:dyDescent="0.45">
      <c r="A44" s="1">
        <v>45657</v>
      </c>
      <c r="B44">
        <v>259</v>
      </c>
      <c r="C44">
        <v>5.0199999999999996</v>
      </c>
      <c r="D44">
        <v>1.57</v>
      </c>
      <c r="E44">
        <v>16157</v>
      </c>
      <c r="F44">
        <v>109.65</v>
      </c>
      <c r="G44">
        <v>6</v>
      </c>
      <c r="H44">
        <v>0</v>
      </c>
      <c r="I44">
        <f>-Haircut!$H$1*(L44-L43)</f>
        <v>-2.719999999999998</v>
      </c>
      <c r="J44">
        <v>0.21000000000000796</v>
      </c>
      <c r="K44">
        <v>4.569</v>
      </c>
      <c r="L44">
        <v>6.9969999999999999</v>
      </c>
    </row>
    <row r="45" spans="1:12" x14ac:dyDescent="0.45">
      <c r="A45" s="1">
        <v>45747</v>
      </c>
      <c r="B45">
        <v>260</v>
      </c>
      <c r="C45">
        <v>4.87</v>
      </c>
      <c r="D45">
        <v>1.03</v>
      </c>
      <c r="E45">
        <v>16566</v>
      </c>
      <c r="F45">
        <v>109.93</v>
      </c>
      <c r="G45">
        <v>5.75</v>
      </c>
      <c r="H45">
        <v>-0.25</v>
      </c>
      <c r="I45">
        <f>-Haircut!$H$1*(L45-L44)</f>
        <v>-3.4999999999998366E-2</v>
      </c>
      <c r="J45">
        <v>0.28000000000000114</v>
      </c>
      <c r="K45">
        <v>4.2053000000000003</v>
      </c>
      <c r="L45">
        <v>7.0039999999999996</v>
      </c>
    </row>
    <row r="46" spans="1:12" x14ac:dyDescent="0.45">
      <c r="A46" s="1">
        <v>45838</v>
      </c>
      <c r="B46">
        <v>261</v>
      </c>
      <c r="C46">
        <v>5.12</v>
      </c>
      <c r="D46">
        <v>1.87</v>
      </c>
      <c r="E46">
        <v>16231</v>
      </c>
      <c r="F46">
        <v>110.13</v>
      </c>
      <c r="G46">
        <v>5.5</v>
      </c>
      <c r="H46">
        <v>-0.25</v>
      </c>
      <c r="I46">
        <f>-Haircut!$H$1*(L46-L45)</f>
        <v>1.8799999999999972</v>
      </c>
      <c r="J46">
        <v>0.19999999999998863</v>
      </c>
      <c r="K46">
        <v>4.2279999999999998</v>
      </c>
      <c r="L46">
        <v>6.6280000000000001</v>
      </c>
    </row>
    <row r="47" spans="1:12" x14ac:dyDescent="0.45">
      <c r="A47" s="1">
        <v>45930</v>
      </c>
      <c r="B47">
        <v>262</v>
      </c>
      <c r="C47">
        <v>5.04</v>
      </c>
      <c r="D47">
        <v>2.65</v>
      </c>
      <c r="E47">
        <v>16692</v>
      </c>
      <c r="F47">
        <v>110.36</v>
      </c>
      <c r="G47">
        <v>4.75</v>
      </c>
      <c r="H47">
        <v>-0.75</v>
      </c>
      <c r="I47">
        <f>-Haircut!$H$1*(L47-L46)</f>
        <v>1.3050000000000006</v>
      </c>
      <c r="J47">
        <v>0.23000000000000398</v>
      </c>
      <c r="K47">
        <v>4.1502999999999997</v>
      </c>
      <c r="L47">
        <v>6.367</v>
      </c>
    </row>
    <row r="48" spans="1:12" x14ac:dyDescent="0.45">
      <c r="A48" s="1">
        <v>46022</v>
      </c>
      <c r="B48">
        <v>263</v>
      </c>
      <c r="C48">
        <v>5.39</v>
      </c>
      <c r="D48">
        <v>2.92</v>
      </c>
      <c r="E48">
        <v>16782</v>
      </c>
      <c r="F48">
        <v>110.56</v>
      </c>
      <c r="G48">
        <v>4.75</v>
      </c>
      <c r="H48">
        <v>0</v>
      </c>
      <c r="I48">
        <f>-Haircut!$H$1*(L48-L47)</f>
        <v>1.4849999999999985</v>
      </c>
      <c r="J48">
        <v>0.20000000000000284</v>
      </c>
      <c r="K48">
        <v>4.1669999999999998</v>
      </c>
      <c r="L48">
        <v>6.07</v>
      </c>
    </row>
    <row r="49" spans="1:12" x14ac:dyDescent="0.45">
      <c r="A49" s="1">
        <v>46112</v>
      </c>
      <c r="B49">
        <v>264</v>
      </c>
      <c r="C49">
        <v>5.61</v>
      </c>
      <c r="D49">
        <v>3.48</v>
      </c>
      <c r="E49">
        <v>16999</v>
      </c>
      <c r="F49">
        <v>110.6</v>
      </c>
      <c r="G49">
        <v>4.75</v>
      </c>
      <c r="H49">
        <v>0</v>
      </c>
      <c r="I49">
        <f>-Haircut!$H$1*(L49-L48)</f>
        <v>-3.9250000000000007</v>
      </c>
      <c r="J49">
        <v>3.9999999999992042E-2</v>
      </c>
      <c r="K49">
        <v>4.3166000000000002</v>
      </c>
      <c r="L49">
        <v>6.8550000000000004</v>
      </c>
    </row>
    <row r="50" spans="1:12" x14ac:dyDescent="0.45">
      <c r="A50" s="1">
        <v>46203</v>
      </c>
      <c r="B50">
        <v>265</v>
      </c>
      <c r="C50">
        <v>5.29</v>
      </c>
      <c r="D50">
        <v>3.34</v>
      </c>
      <c r="E50">
        <v>17899</v>
      </c>
      <c r="F50">
        <v>110.89</v>
      </c>
      <c r="G50">
        <v>5.75</v>
      </c>
      <c r="H50">
        <v>1</v>
      </c>
      <c r="I50">
        <f>-Haircut!$H$1*(L50-L49)</f>
        <v>-1.5149999999999997</v>
      </c>
      <c r="J50">
        <v>0.29000000000000625</v>
      </c>
      <c r="K50">
        <v>4.4652000000000003</v>
      </c>
      <c r="L50">
        <v>7.1580000000000004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61B-C9CE-4B99-BBE1-3127CE69A6D8}">
  <dimension ref="A1:K7"/>
  <sheetViews>
    <sheetView workbookViewId="0">
      <selection activeCell="B3" sqref="B3"/>
    </sheetView>
  </sheetViews>
  <sheetFormatPr defaultRowHeight="14.25" x14ac:dyDescent="0.45"/>
  <cols>
    <col min="1" max="1" width="11.06640625" customWidth="1"/>
  </cols>
  <sheetData>
    <row r="1" spans="1:1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9</v>
      </c>
      <c r="I1" t="s">
        <v>1</v>
      </c>
      <c r="J1" t="s">
        <v>25</v>
      </c>
      <c r="K1" t="s">
        <v>26</v>
      </c>
    </row>
    <row r="2" spans="1:11" x14ac:dyDescent="0.45">
      <c r="A2" s="3">
        <v>46295</v>
      </c>
      <c r="B2">
        <v>5.0999999999999996</v>
      </c>
      <c r="C2">
        <v>5.75</v>
      </c>
      <c r="D2">
        <v>3.28</v>
      </c>
      <c r="E2">
        <v>17877</v>
      </c>
      <c r="F2">
        <v>0.25</v>
      </c>
      <c r="G2">
        <f>-Haircut!$H$1*(K2-Macro!L50)</f>
        <v>0.31500000000000306</v>
      </c>
      <c r="H2">
        <f>C2-Macro!G50</f>
        <v>0</v>
      </c>
      <c r="I2">
        <v>266</v>
      </c>
      <c r="J2">
        <v>4.9612999999999996</v>
      </c>
      <c r="K2">
        <v>7.0949999999999998</v>
      </c>
    </row>
    <row r="3" spans="1:11" x14ac:dyDescent="0.45">
      <c r="A3" s="3">
        <v>46387</v>
      </c>
      <c r="B3">
        <v>5.0999999999999996</v>
      </c>
      <c r="C3">
        <v>5.75</v>
      </c>
      <c r="D3">
        <v>3.2</v>
      </c>
      <c r="E3">
        <v>17800</v>
      </c>
      <c r="F3">
        <v>0.25</v>
      </c>
      <c r="G3">
        <f>-Haircut!$H$1*(K3-K2)</f>
        <v>0.18325799679400845</v>
      </c>
      <c r="H3">
        <f>C3-C2</f>
        <v>0</v>
      </c>
      <c r="I3">
        <v>267</v>
      </c>
      <c r="J3">
        <f>J2</f>
        <v>4.9612999999999996</v>
      </c>
      <c r="K3">
        <f>K2+Haircut!$F$1*(J3-J2)+Haircut!$F$2*(C3-C2)+Haircut!$F$3*100*LN(E3/E2)</f>
        <v>7.0583484006411981</v>
      </c>
    </row>
    <row r="4" spans="1:11" x14ac:dyDescent="0.45">
      <c r="A4" s="3">
        <v>46477</v>
      </c>
      <c r="B4">
        <v>5.0999999999999996</v>
      </c>
      <c r="C4">
        <v>5.5</v>
      </c>
      <c r="D4">
        <v>3</v>
      </c>
      <c r="E4">
        <v>17600</v>
      </c>
      <c r="F4">
        <v>0.25</v>
      </c>
      <c r="G4">
        <f>-Haircut!$H$1*(K4-K3)</f>
        <v>0.63615462326126693</v>
      </c>
      <c r="H4">
        <f>C4-C3</f>
        <v>-0.25</v>
      </c>
      <c r="I4">
        <v>268</v>
      </c>
      <c r="J4">
        <f>J3</f>
        <v>4.9612999999999996</v>
      </c>
      <c r="K4">
        <f>K3+Haircut!$F$1*(J4-J3)+Haircut!$F$2*(C4-C3)+Haircut!$F$3*100*LN(E4/E3)</f>
        <v>6.9311174759889447</v>
      </c>
    </row>
    <row r="5" spans="1:11" x14ac:dyDescent="0.45">
      <c r="A5" s="3">
        <v>46568</v>
      </c>
      <c r="B5">
        <v>5.2</v>
      </c>
      <c r="C5">
        <v>5.25</v>
      </c>
      <c r="D5">
        <v>3</v>
      </c>
      <c r="E5">
        <v>17500</v>
      </c>
      <c r="F5">
        <v>0.25</v>
      </c>
      <c r="G5">
        <f>-Haircut!$H$1*(K5-K4)</f>
        <v>0.39834093122405712</v>
      </c>
      <c r="H5">
        <f>C5-C4</f>
        <v>-0.25</v>
      </c>
      <c r="I5">
        <v>269</v>
      </c>
      <c r="J5">
        <f>J4</f>
        <v>4.9612999999999996</v>
      </c>
      <c r="K5">
        <f>K4+Haircut!$F$1*(J5-J4)+Haircut!$F$2*(C5-C4)+Haircut!$F$3*100*LN(E5/E4)</f>
        <v>6.8514492897441333</v>
      </c>
    </row>
    <row r="6" spans="1:11" x14ac:dyDescent="0.45">
      <c r="A6" s="3">
        <v>46660</v>
      </c>
      <c r="B6">
        <v>5.2</v>
      </c>
      <c r="C6">
        <v>5.25</v>
      </c>
      <c r="D6">
        <v>2.9</v>
      </c>
      <c r="E6">
        <v>17400</v>
      </c>
      <c r="F6">
        <v>0.25</v>
      </c>
      <c r="G6">
        <f>-Haircut!$H$1*(K6-K5)</f>
        <v>0.24329636783742892</v>
      </c>
      <c r="H6">
        <f>C6-C5</f>
        <v>0</v>
      </c>
      <c r="I6">
        <v>270</v>
      </c>
      <c r="J6">
        <f>J5</f>
        <v>4.9612999999999996</v>
      </c>
      <c r="K6">
        <f>K5+Haircut!$F$1*(J6-J5)+Haircut!$F$2*(C6-C5)+Haircut!$F$3*100*LN(E6/E5)</f>
        <v>6.8027900161766475</v>
      </c>
    </row>
    <row r="7" spans="1:11" x14ac:dyDescent="0.45">
      <c r="A7" s="3">
        <v>46752</v>
      </c>
      <c r="B7">
        <v>5.2</v>
      </c>
      <c r="C7">
        <v>5</v>
      </c>
      <c r="D7">
        <v>2.8</v>
      </c>
      <c r="E7">
        <v>17300</v>
      </c>
      <c r="F7">
        <v>0.25</v>
      </c>
      <c r="G7">
        <f>-Haircut!$H$1*(K7-K6)</f>
        <v>0.40112953512009941</v>
      </c>
      <c r="H7">
        <f>C7-C6</f>
        <v>-0.25</v>
      </c>
      <c r="I7">
        <v>271</v>
      </c>
      <c r="J7">
        <f>J6</f>
        <v>4.9612999999999996</v>
      </c>
      <c r="K7">
        <f>K6+Haircut!$F$1*(J7-J6)+Haircut!$F$2*(C7-C6)+Haircut!$F$3*100*LN(E7/E6)</f>
        <v>6.7225641091526276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24-F95C-44FA-8CCF-CDBA108E8470}">
  <dimension ref="A1:J7"/>
  <sheetViews>
    <sheetView workbookViewId="0">
      <selection activeCell="I8" sqref="I8"/>
    </sheetView>
  </sheetViews>
  <sheetFormatPr defaultRowHeight="14.25" x14ac:dyDescent="0.45"/>
  <cols>
    <col min="1" max="1" width="12.06640625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r="2" spans="1:10" x14ac:dyDescent="0.45">
      <c r="A2" s="3">
        <v>46295</v>
      </c>
      <c r="B2">
        <f>Macro!C50-Haircut!C6</f>
        <v>4.7116181646987325</v>
      </c>
      <c r="C2">
        <f>'Scenario 1'!C2</f>
        <v>5.75</v>
      </c>
      <c r="D2">
        <f>Macro!D50+Haircut!E7</f>
        <v>3.7547956695669527</v>
      </c>
      <c r="E2">
        <f>'Scenario 1'!E2+Haircut!F6</f>
        <v>18207.497266083861</v>
      </c>
      <c r="F2">
        <f>Macro!J50-Haircut!I7</f>
        <v>0.20186731553845472</v>
      </c>
      <c r="G2">
        <f>-Haircut!$H$1*(J2-Macro!L50)</f>
        <v>-1.0836790966956578</v>
      </c>
      <c r="H2">
        <v>266</v>
      </c>
      <c r="I2">
        <f>'Scenario 1'!J2+Haircut!J7</f>
        <v>5.2481001479042577</v>
      </c>
      <c r="J2">
        <f>'Scenario 1'!K2+Haircut!$F$1*(I2-'Scenario 1'!J2)+Haircut!$F$2*(C2-'Scenario 1'!C2)+Haircut!$F$3*100*LN(E2/'Scenario 1'!E2)</f>
        <v>7.3747358193391319</v>
      </c>
    </row>
    <row r="3" spans="1:10" x14ac:dyDescent="0.45">
      <c r="A3" s="3">
        <v>46387</v>
      </c>
      <c r="B3">
        <f>B2-Haircut!C6</f>
        <v>4.133236329397465</v>
      </c>
      <c r="C3">
        <f>C2-Haircut!D7</f>
        <v>5.5120070904417524</v>
      </c>
      <c r="D3">
        <f>D2+Haircut!E7</f>
        <v>4.1695913391339054</v>
      </c>
      <c r="E3">
        <f>E2+Haircut!F7</f>
        <v>18537.994532167722</v>
      </c>
      <c r="F3">
        <v>0.35999999999998522</v>
      </c>
      <c r="G3">
        <f>-Haircut!$H$1*(J3-J2)</f>
        <v>-1.2357707300292642</v>
      </c>
      <c r="H3">
        <v>267</v>
      </c>
      <c r="I3">
        <f>I2+('Scenario 1'!J3-'Scenario 1'!J2)+Haircut!J8</f>
        <v>5.5349002958085158</v>
      </c>
      <c r="J3">
        <f>J2+Haircut!$F$1*(I3-I2)+Haircut!$F$2*(C3-C2)+Haircut!$F$3*100*LN(E3/E2)</f>
        <v>7.6218899653449848</v>
      </c>
    </row>
    <row r="4" spans="1:10" x14ac:dyDescent="0.45">
      <c r="A4" s="3">
        <v>46477</v>
      </c>
      <c r="B4">
        <f>B3-Haircut!C7</f>
        <v>3.5548544940961975</v>
      </c>
      <c r="C4">
        <f>C3-Haircut!D8</f>
        <v>5.2740141808835048</v>
      </c>
      <c r="D4">
        <f>D3+Haircut!E8</f>
        <v>4.5843870087008582</v>
      </c>
      <c r="E4">
        <f>E3+Haircut!F8</f>
        <v>18868.491798251584</v>
      </c>
      <c r="F4">
        <v>0</v>
      </c>
      <c r="G4">
        <f>-Haircut!$H$1*(J4-J3)</f>
        <v>-1.2222746035749488</v>
      </c>
      <c r="H4">
        <v>268</v>
      </c>
      <c r="I4">
        <f>I3+('Scenario 1'!J4-'Scenario 1'!J3)+Haircut!J9</f>
        <v>5.821700443712774</v>
      </c>
      <c r="J4">
        <f>J3+Haircut!$F$1*(I4-I3)+Haircut!$F$2*(C4-C3)+Haircut!$F$3*100*LN(E4/E3)</f>
        <v>7.8663448860599745</v>
      </c>
    </row>
    <row r="5" spans="1:10" x14ac:dyDescent="0.45">
      <c r="A5" s="3">
        <v>46568</v>
      </c>
      <c r="B5">
        <f>B4-Haircut!C8</f>
        <v>2.9764726587949299</v>
      </c>
      <c r="C5">
        <f>C4-Haircut!D9</f>
        <v>5.0360212713252572</v>
      </c>
      <c r="D5">
        <f>D4+Haircut!E9</f>
        <v>4.999182678267811</v>
      </c>
      <c r="E5">
        <f>E4+Haircut!F9</f>
        <v>19198.989064335445</v>
      </c>
      <c r="F5">
        <v>0.1071561619203264</v>
      </c>
      <c r="G5">
        <f>-Haircut!$H$1*(J5-J4)</f>
        <v>-1.2092472000346222</v>
      </c>
      <c r="H5">
        <v>269</v>
      </c>
      <c r="I5">
        <f>I4+('Scenario 1'!J5-'Scenario 1'!J4)+Haircut!J10</f>
        <v>6.1085005916170321</v>
      </c>
      <c r="J5">
        <f>J4+Haircut!$F$1*(I5-I4)+Haircut!$F$2*(C5-C4)+Haircut!$F$3*100*LN(E5/E4)</f>
        <v>8.1081943260668989</v>
      </c>
    </row>
    <row r="6" spans="1:10" x14ac:dyDescent="0.45">
      <c r="A6" s="3">
        <v>46660</v>
      </c>
      <c r="B6">
        <f>'Scenario 2'!B5-Haircut!C9</f>
        <v>2.3980908234936624</v>
      </c>
      <c r="C6">
        <f>C5-Haircut!D10</f>
        <v>4.7980283617670096</v>
      </c>
      <c r="D6">
        <f>'Scenario 2'!D5+Haircut!E10</f>
        <v>5.4139783478347638</v>
      </c>
      <c r="E6">
        <f>'Scenario 2'!E5+Haircut!F10</f>
        <v>19529.486330419306</v>
      </c>
      <c r="F6">
        <v>-0.22045845077289927</v>
      </c>
      <c r="G6">
        <f>-Haircut!$H$1*(J6-J5)</f>
        <v>-1.1966645173657664</v>
      </c>
      <c r="H6">
        <v>270</v>
      </c>
      <c r="I6">
        <f>I5+('Scenario 1'!J6-'Scenario 1'!J5)+Haircut!J11</f>
        <v>6.3953007395212902</v>
      </c>
      <c r="J6">
        <f>J5+Haircut!$F$1*(I6-I5)+Haircut!$F$2*(C6-C5)+Haircut!$F$3*100*LN(E6/E5)</f>
        <v>8.3475272295400522</v>
      </c>
    </row>
    <row r="7" spans="1:10" x14ac:dyDescent="0.45">
      <c r="A7" s="3">
        <v>46752</v>
      </c>
      <c r="B7">
        <f>B6-Haircut!C10</f>
        <v>1.8197089881923951</v>
      </c>
      <c r="C7">
        <f>C6-Haircut!D11</f>
        <v>4.5600354522087621</v>
      </c>
      <c r="D7">
        <f>D6+Haircut!E11</f>
        <v>5.8287740174017166</v>
      </c>
      <c r="E7">
        <f>E6+Haircut!F11</f>
        <v>19859.983596503167</v>
      </c>
      <c r="F7">
        <v>-0.54807306346612494</v>
      </c>
      <c r="G7">
        <f>-Haircut!$H$1*(J7-J6)</f>
        <v>-1.1845041648342658</v>
      </c>
      <c r="H7">
        <v>271</v>
      </c>
      <c r="I7">
        <f>I6+('Scenario 1'!J7-'Scenario 1'!J6)+Haircut!J12</f>
        <v>6.6821008874255483</v>
      </c>
      <c r="J7">
        <f>J6+Haircut!$F$1*(I7-I6)+Haircut!$F$2*(C7-C6)+Haircut!$F$3*100*LN(E7/E6)</f>
        <v>8.5844280625069054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41A-325D-43C8-A7A5-E082D9FDD9D5}">
  <dimension ref="A1:J7"/>
  <sheetViews>
    <sheetView workbookViewId="0">
      <selection activeCell="F3" sqref="F3"/>
    </sheetView>
  </sheetViews>
  <sheetFormatPr defaultRowHeight="14.25" x14ac:dyDescent="0.45"/>
  <cols>
    <col min="1" max="1" width="12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r="2" spans="1:10" x14ac:dyDescent="0.45">
      <c r="A2" s="3">
        <v>46295</v>
      </c>
      <c r="B2">
        <f>Macro!C50-Haircut!C16</f>
        <v>4.1332363293974659</v>
      </c>
      <c r="C2">
        <f>'Scenario 1'!C2</f>
        <v>5.75</v>
      </c>
      <c r="D2">
        <f>Macro!D50+Haircut!E17</f>
        <v>4.1695913391339054</v>
      </c>
      <c r="E2">
        <f>'Scenario 1'!E2+Haircut!F16</f>
        <v>18537.994532167722</v>
      </c>
      <c r="F2">
        <f>Macro!J50-Haircut!I17</f>
        <v>0.11373463107690321</v>
      </c>
      <c r="G2">
        <f>-Haircut!$H$1*(J2-Macro!L50)</f>
        <v>-2.4683675830688889</v>
      </c>
      <c r="H2">
        <v>266</v>
      </c>
      <c r="I2">
        <f>'Scenario 1'!J2+Haircut!J17</f>
        <v>5.5349002958085149</v>
      </c>
      <c r="J2">
        <f>'Scenario 1'!K2+Haircut!$F$1*(I2-'Scenario 1'!J2)+Haircut!$F$2*(C2-'Scenario 1'!C2)+Haircut!$F$3*100*LN(E2/'Scenario 1'!E2)</f>
        <v>7.6516735166137781</v>
      </c>
    </row>
    <row r="3" spans="1:10" x14ac:dyDescent="0.45">
      <c r="A3" s="3">
        <v>46387</v>
      </c>
      <c r="B3">
        <f>B2-Haircut!C18</f>
        <v>2.9764726587949313</v>
      </c>
      <c r="C3">
        <f>C2+Haircut!D8</f>
        <v>5.9879929095582476</v>
      </c>
      <c r="D3">
        <f>D2+Haircut!E17</f>
        <v>4.999182678267811</v>
      </c>
      <c r="E3">
        <f>E2+Haircut!F17</f>
        <v>19198.989064335445</v>
      </c>
      <c r="F3">
        <v>-1.3900000000000148</v>
      </c>
      <c r="G3">
        <f>-Haircut!$H$1*(J3-J2)</f>
        <v>-2.8782750726414896</v>
      </c>
      <c r="H3">
        <v>267</v>
      </c>
      <c r="I3">
        <f>I2+('Scenario 1'!J3-'Scenario 1'!J2)+Haircut!J18</f>
        <v>6.1085005916170303</v>
      </c>
      <c r="J3">
        <f>J2+Haircut!$F$1*(I3-I2)+Haircut!$F$2*(C3-C2)+Haircut!$F$3*100*LN(E3/E2)</f>
        <v>8.2273285311420761</v>
      </c>
    </row>
    <row r="4" spans="1:10" x14ac:dyDescent="0.45">
      <c r="A4" s="3">
        <v>46477</v>
      </c>
      <c r="B4">
        <f>B3-Haircut!C19</f>
        <v>1.8197089881923967</v>
      </c>
      <c r="C4">
        <f>C3+Haircut!D9</f>
        <v>6.2259858191164952</v>
      </c>
      <c r="D4">
        <f>D3+Haircut!E18</f>
        <v>5.8287740174017166</v>
      </c>
      <c r="E4">
        <f>E3+Haircut!F18</f>
        <v>19859.983596503167</v>
      </c>
      <c r="F4">
        <v>-2.6500000000000057</v>
      </c>
      <c r="G4">
        <f>-Haircut!$H$1*(J4-J3)</f>
        <v>-2.8279219512319287</v>
      </c>
      <c r="H4">
        <v>268</v>
      </c>
      <c r="I4">
        <f>I3+('Scenario 1'!J4-'Scenario 1'!J3)+Haircut!J19</f>
        <v>6.6821008874255456</v>
      </c>
      <c r="J4">
        <f>J3+Haircut!$F$1*(I4-I3)+Haircut!$F$2*(C4-C3)+Haircut!$F$3*100*LN(E4/E3)</f>
        <v>8.7929129213884618</v>
      </c>
    </row>
    <row r="5" spans="1:10" x14ac:dyDescent="0.45">
      <c r="A5" s="3">
        <v>46568</v>
      </c>
      <c r="B5">
        <f>B4-Haircut!C20</f>
        <v>0.66294531758986208</v>
      </c>
      <c r="C5">
        <f>C4+Haircut!D10</f>
        <v>6.4639787286747428</v>
      </c>
      <c r="D5">
        <f>D4+Haircut!E19</f>
        <v>6.6583653565356222</v>
      </c>
      <c r="E5">
        <f>E4+Haircut!F19</f>
        <v>20520.978128670889</v>
      </c>
      <c r="F5">
        <v>-2.5699999999999932</v>
      </c>
      <c r="G5">
        <f>-Haircut!$H$1*(J5-J4)</f>
        <v>-2.7808666579016172</v>
      </c>
      <c r="H5">
        <v>269</v>
      </c>
      <c r="I5">
        <f>I4+('Scenario 1'!J5-'Scenario 1'!J4)+Haircut!J20</f>
        <v>7.255701183234061</v>
      </c>
      <c r="J5">
        <f>J4+Haircut!$F$1*(I5-I4)+Haircut!$F$2*(C5-C4)+Haircut!$F$3*100*LN(E5/E4)</f>
        <v>9.3490862529687853</v>
      </c>
    </row>
    <row r="6" spans="1:10" x14ac:dyDescent="0.45">
      <c r="A6" s="3">
        <v>46660</v>
      </c>
      <c r="B6">
        <f>'Scenario 3'!B5-Haircut!C21</f>
        <v>-0.49381835301267252</v>
      </c>
      <c r="C6">
        <f>'Scenario 3'!C5+Haircut!D11</f>
        <v>6.7019716382329904</v>
      </c>
      <c r="D6">
        <f>'Scenario 3'!D5+Haircut!E20</f>
        <v>7.4879566956695278</v>
      </c>
      <c r="E6">
        <f>'Scenario 3'!E5+Haircut!F20</f>
        <v>21181.972660838612</v>
      </c>
      <c r="F6">
        <v>-1.1200000000000045</v>
      </c>
      <c r="G6">
        <f>-Haircut!$H$1*(J6-J5)</f>
        <v>-2.7367954574094355</v>
      </c>
      <c r="H6">
        <v>270</v>
      </c>
      <c r="I6">
        <f>I5+('Scenario 1'!J6-'Scenario 1'!J5)+Haircut!J21</f>
        <v>7.8293014790425763</v>
      </c>
      <c r="J6">
        <f>J5+Haircut!$F$1*(I6-I5)+Haircut!$F$2*(C6-C5)+Haircut!$F$3*100*LN(E6/E5)</f>
        <v>9.8964453444506724</v>
      </c>
    </row>
    <row r="7" spans="1:10" x14ac:dyDescent="0.45">
      <c r="A7" s="3">
        <v>46752</v>
      </c>
      <c r="B7">
        <f>B6-Haircut!C22</f>
        <v>-1.6505820236152071</v>
      </c>
      <c r="C7">
        <f>C6+Haircut!D12</f>
        <v>6.9399645477912379</v>
      </c>
      <c r="D7">
        <f>D6+Haircut!E21</f>
        <v>8.3175480348034334</v>
      </c>
      <c r="E7">
        <f>E6+Haircut!F21</f>
        <v>21842.967193006334</v>
      </c>
      <c r="F7">
        <v>-0.61999999999997613</v>
      </c>
      <c r="G7">
        <f>-Haircut!$H$1*(J7-J6)</f>
        <v>-2.6954331901687656</v>
      </c>
      <c r="H7">
        <v>271</v>
      </c>
      <c r="I7">
        <f>I6+('Scenario 1'!J7-'Scenario 1'!J6)+Haircut!J22</f>
        <v>8.4029017748510917</v>
      </c>
      <c r="J7">
        <f>J6+Haircut!$F$1*(I7-I6)+Haircut!$F$2*(C7-C6)+Haircut!$F$3*100*LN(E7/E6)</f>
        <v>10.435531982484425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026-AA14-4A3C-BA72-E499094D6A1D}">
  <dimension ref="A1:D34"/>
  <sheetViews>
    <sheetView topLeftCell="A22" workbookViewId="0">
      <selection activeCell="B6" sqref="B6"/>
    </sheetView>
  </sheetViews>
  <sheetFormatPr defaultRowHeight="14.25" x14ac:dyDescent="0.45"/>
  <sheetData>
    <row r="1" spans="1:4" x14ac:dyDescent="0.45">
      <c r="A1" t="s">
        <v>13</v>
      </c>
      <c r="B1" t="s">
        <v>14</v>
      </c>
      <c r="C1" t="s">
        <v>15</v>
      </c>
      <c r="D1" t="s">
        <v>16</v>
      </c>
    </row>
    <row r="2" spans="1:4" x14ac:dyDescent="0.45">
      <c r="A2" s="1" t="s">
        <v>20</v>
      </c>
      <c r="B2" s="6">
        <f>Macro!C50</f>
        <v>5.29</v>
      </c>
      <c r="C2" s="6">
        <f>Macro!C50</f>
        <v>5.29</v>
      </c>
      <c r="D2" s="6">
        <f>Macro!C50</f>
        <v>5.29</v>
      </c>
    </row>
    <row r="3" spans="1:4" x14ac:dyDescent="0.45">
      <c r="A3" s="1" t="s">
        <v>21</v>
      </c>
      <c r="B3" s="6">
        <f>'Scenario 1'!B2</f>
        <v>5.0999999999999996</v>
      </c>
      <c r="C3" s="6">
        <f>'Scenario 2'!B2</f>
        <v>4.7116181646987325</v>
      </c>
      <c r="D3" s="6">
        <f>'Scenario 3'!B2</f>
        <v>4.1332363293974659</v>
      </c>
    </row>
    <row r="4" spans="1:4" x14ac:dyDescent="0.45">
      <c r="A4" s="1" t="s">
        <v>22</v>
      </c>
      <c r="B4" s="6">
        <f>'Scenario 1'!B3</f>
        <v>5.0999999999999996</v>
      </c>
      <c r="C4" s="6">
        <f>'Scenario 2'!B3</f>
        <v>4.133236329397465</v>
      </c>
      <c r="D4" s="6">
        <f>'Scenario 3'!B3</f>
        <v>2.9764726587949313</v>
      </c>
    </row>
    <row r="5" spans="1:4" x14ac:dyDescent="0.45">
      <c r="A5" s="1" t="s">
        <v>23</v>
      </c>
      <c r="B5" s="6">
        <f>'Scenario 1'!B4</f>
        <v>5.0999999999999996</v>
      </c>
      <c r="C5" s="6">
        <f>'Scenario 2'!B4</f>
        <v>3.5548544940961975</v>
      </c>
      <c r="D5" s="6">
        <f>'Scenario 3'!B4</f>
        <v>1.8197089881923967</v>
      </c>
    </row>
    <row r="6" spans="1:4" x14ac:dyDescent="0.45">
      <c r="A6" s="1" t="s">
        <v>24</v>
      </c>
      <c r="B6" s="6">
        <f>'Scenario 1'!B5</f>
        <v>5.2</v>
      </c>
      <c r="C6" s="6">
        <f>'Scenario 2'!B5</f>
        <v>2.9764726587949299</v>
      </c>
      <c r="D6" s="6">
        <f>'Scenario 3'!B5</f>
        <v>0.66294531758986208</v>
      </c>
    </row>
    <row r="8" spans="1:4" x14ac:dyDescent="0.45">
      <c r="A8" t="s">
        <v>17</v>
      </c>
      <c r="B8" t="s">
        <v>14</v>
      </c>
      <c r="C8" t="s">
        <v>15</v>
      </c>
      <c r="D8" t="s">
        <v>16</v>
      </c>
    </row>
    <row r="9" spans="1:4" x14ac:dyDescent="0.45">
      <c r="A9" s="1" t="s">
        <v>21</v>
      </c>
      <c r="B9" s="6">
        <f>'Scenario 1'!C2</f>
        <v>5.75</v>
      </c>
      <c r="C9" s="6">
        <f>'Scenario 2'!C2</f>
        <v>5.75</v>
      </c>
      <c r="D9" s="6">
        <f>'Scenario 3'!C2</f>
        <v>5.75</v>
      </c>
    </row>
    <row r="10" spans="1:4" x14ac:dyDescent="0.45">
      <c r="A10" s="1" t="s">
        <v>22</v>
      </c>
      <c r="B10" s="6">
        <f>'Scenario 1'!C3</f>
        <v>5.75</v>
      </c>
      <c r="C10" s="6">
        <f>'Scenario 2'!C3</f>
        <v>5.5120070904417524</v>
      </c>
      <c r="D10" s="6">
        <f>'Scenario 3'!C3</f>
        <v>5.9879929095582476</v>
      </c>
    </row>
    <row r="11" spans="1:4" x14ac:dyDescent="0.45">
      <c r="A11" s="1" t="s">
        <v>23</v>
      </c>
      <c r="B11" s="6">
        <f>'Scenario 1'!C4</f>
        <v>5.5</v>
      </c>
      <c r="C11" s="6">
        <f>'Scenario 2'!C4</f>
        <v>5.2740141808835048</v>
      </c>
      <c r="D11" s="6">
        <f>'Scenario 3'!C4</f>
        <v>6.2259858191164952</v>
      </c>
    </row>
    <row r="12" spans="1:4" x14ac:dyDescent="0.45">
      <c r="A12" s="1" t="s">
        <v>24</v>
      </c>
      <c r="B12" s="6">
        <f>'Scenario 1'!C5</f>
        <v>5.25</v>
      </c>
      <c r="C12" s="6">
        <f>'Scenario 2'!C5</f>
        <v>5.0360212713252572</v>
      </c>
      <c r="D12" s="6">
        <f>'Scenario 3'!C5</f>
        <v>6.4639787286747428</v>
      </c>
    </row>
    <row r="15" spans="1:4" x14ac:dyDescent="0.45">
      <c r="A15" t="s">
        <v>18</v>
      </c>
      <c r="B15" t="s">
        <v>14</v>
      </c>
      <c r="C15" t="s">
        <v>15</v>
      </c>
      <c r="D15" t="s">
        <v>16</v>
      </c>
    </row>
    <row r="16" spans="1:4" x14ac:dyDescent="0.45">
      <c r="A16" s="1" t="s">
        <v>20</v>
      </c>
      <c r="B16" s="6">
        <f>Macro!J50</f>
        <v>0.29000000000000625</v>
      </c>
      <c r="C16" s="6">
        <v>0.38586167999999077</v>
      </c>
      <c r="D16" s="6">
        <v>0.38586167999999077</v>
      </c>
    </row>
    <row r="17" spans="1:4" x14ac:dyDescent="0.45">
      <c r="A17" s="1" t="s">
        <v>21</v>
      </c>
      <c r="B17" s="6">
        <f>'Scenario 1'!F2</f>
        <v>0.25</v>
      </c>
      <c r="C17" s="6">
        <f>'Scenario 2'!F2</f>
        <v>0.20186731553845472</v>
      </c>
      <c r="D17" s="6">
        <f>'Scenario 3'!F2</f>
        <v>0.11373463107690321</v>
      </c>
    </row>
    <row r="18" spans="1:4" x14ac:dyDescent="0.45">
      <c r="A18" s="1" t="s">
        <v>22</v>
      </c>
      <c r="B18" s="6">
        <f>'Scenario 1'!F3</f>
        <v>0.25</v>
      </c>
      <c r="C18" s="6">
        <f>'Scenario 2'!F3</f>
        <v>0.35999999999998522</v>
      </c>
      <c r="D18" s="6">
        <f>'Scenario 3'!F3</f>
        <v>-1.3900000000000148</v>
      </c>
    </row>
    <row r="19" spans="1:4" x14ac:dyDescent="0.45">
      <c r="A19" s="1" t="s">
        <v>23</v>
      </c>
      <c r="B19" s="6">
        <f>'Scenario 1'!F4</f>
        <v>0.25</v>
      </c>
      <c r="C19" s="6">
        <f>'Scenario 2'!F4</f>
        <v>0</v>
      </c>
      <c r="D19" s="6">
        <f>'Scenario 3'!F4</f>
        <v>-2.6500000000000057</v>
      </c>
    </row>
    <row r="20" spans="1:4" x14ac:dyDescent="0.45">
      <c r="A20" s="1" t="s">
        <v>24</v>
      </c>
      <c r="B20" s="6">
        <f>'Scenario 1'!F5</f>
        <v>0.25</v>
      </c>
      <c r="C20" s="6">
        <f>'Scenario 2'!F5</f>
        <v>0.1071561619203264</v>
      </c>
      <c r="D20" s="6">
        <f>'Scenario 3'!F5</f>
        <v>-2.5699999999999932</v>
      </c>
    </row>
    <row r="22" spans="1:4" x14ac:dyDescent="0.45">
      <c r="A22" s="1" t="s">
        <v>19</v>
      </c>
      <c r="B22" t="s">
        <v>14</v>
      </c>
      <c r="C22" t="s">
        <v>15</v>
      </c>
      <c r="D22" t="s">
        <v>16</v>
      </c>
    </row>
    <row r="23" spans="1:4" x14ac:dyDescent="0.45">
      <c r="A23" s="1" t="s">
        <v>21</v>
      </c>
      <c r="B23" s="6">
        <f>'Scenario 1'!G2</f>
        <v>0.31500000000000306</v>
      </c>
      <c r="C23" s="6">
        <f>'Scenario 2'!G2</f>
        <v>-1.0836790966956578</v>
      </c>
      <c r="D23" s="6">
        <f>'Scenario 3'!G2</f>
        <v>-2.4683675830688889</v>
      </c>
    </row>
    <row r="24" spans="1:4" x14ac:dyDescent="0.45">
      <c r="A24" s="1" t="s">
        <v>22</v>
      </c>
      <c r="B24" s="6">
        <f>'Scenario 1'!G3</f>
        <v>0.18325799679400845</v>
      </c>
      <c r="C24" s="6">
        <f>'Scenario 2'!G3</f>
        <v>-1.2357707300292642</v>
      </c>
      <c r="D24" s="6">
        <f>'Scenario 3'!G3</f>
        <v>-2.8782750726414896</v>
      </c>
    </row>
    <row r="25" spans="1:4" x14ac:dyDescent="0.45">
      <c r="A25" s="1" t="s">
        <v>23</v>
      </c>
      <c r="B25" s="6">
        <f>'Scenario 1'!G4</f>
        <v>0.63615462326126693</v>
      </c>
      <c r="C25" s="6">
        <f>'Scenario 2'!G4</f>
        <v>-1.2222746035749488</v>
      </c>
      <c r="D25" s="6">
        <f>'Scenario 3'!G4</f>
        <v>-2.8279219512319287</v>
      </c>
    </row>
    <row r="26" spans="1:4" x14ac:dyDescent="0.45">
      <c r="A26" s="1" t="s">
        <v>24</v>
      </c>
      <c r="B26" s="6">
        <f>'Scenario 1'!G5</f>
        <v>0.39834093122405712</v>
      </c>
      <c r="C26" s="6">
        <f>'Scenario 2'!G5</f>
        <v>-1.2092472000346222</v>
      </c>
      <c r="D26" s="6">
        <f>'Scenario 3'!G5</f>
        <v>-2.7808666579016172</v>
      </c>
    </row>
    <row r="29" spans="1:4" x14ac:dyDescent="0.45">
      <c r="A29" s="1"/>
    </row>
    <row r="30" spans="1:4" x14ac:dyDescent="0.45">
      <c r="A30" s="1"/>
      <c r="B30" s="6"/>
      <c r="C30" s="6"/>
      <c r="D30" s="6"/>
    </row>
    <row r="31" spans="1:4" x14ac:dyDescent="0.45">
      <c r="A31" s="1"/>
      <c r="B31" s="6"/>
      <c r="C31" s="6"/>
      <c r="D31" s="6"/>
    </row>
    <row r="32" spans="1:4" x14ac:dyDescent="0.45">
      <c r="A32" s="1"/>
      <c r="B32" s="6"/>
      <c r="C32" s="6"/>
      <c r="D32" s="6"/>
    </row>
    <row r="33" spans="1:4" x14ac:dyDescent="0.45">
      <c r="A33" s="1"/>
      <c r="B33" s="6"/>
      <c r="C33" s="6"/>
      <c r="D33" s="6"/>
    </row>
    <row r="34" spans="1:4" x14ac:dyDescent="0.45">
      <c r="A34" s="1"/>
      <c r="B34" s="6"/>
      <c r="C34" s="6"/>
      <c r="D34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CDCA-61C7-4498-B1B8-1D2ECBC8866D}">
  <dimension ref="A1:D9"/>
  <sheetViews>
    <sheetView topLeftCell="B1" workbookViewId="0">
      <selection activeCell="B5" sqref="B5"/>
    </sheetView>
  </sheetViews>
  <sheetFormatPr defaultRowHeight="14.25" x14ac:dyDescent="0.45"/>
  <cols>
    <col min="1" max="2" width="12.59765625" customWidth="1"/>
    <col min="3" max="4" width="70.59765625" customWidth="1"/>
  </cols>
  <sheetData>
    <row r="1" spans="1:4" x14ac:dyDescent="0.45">
      <c r="A1" s="8" t="s">
        <v>31</v>
      </c>
      <c r="B1" s="8" t="s">
        <v>32</v>
      </c>
      <c r="C1" s="8" t="s">
        <v>33</v>
      </c>
      <c r="D1" s="8" t="s">
        <v>34</v>
      </c>
    </row>
    <row r="2" spans="1:4" x14ac:dyDescent="0.45">
      <c r="A2" t="s">
        <v>35</v>
      </c>
      <c r="B2" s="9">
        <v>607.62</v>
      </c>
      <c r="C2" t="s">
        <v>36</v>
      </c>
      <c r="D2" t="s">
        <v>37</v>
      </c>
    </row>
    <row r="3" spans="1:4" x14ac:dyDescent="0.45">
      <c r="A3" t="s">
        <v>38</v>
      </c>
      <c r="B3" s="9">
        <v>78.69</v>
      </c>
      <c r="C3" t="s">
        <v>39</v>
      </c>
      <c r="D3" t="s">
        <v>40</v>
      </c>
    </row>
    <row r="4" spans="1:4" x14ac:dyDescent="0.45">
      <c r="A4" t="s">
        <v>41</v>
      </c>
      <c r="B4" s="9">
        <v>1209.49</v>
      </c>
      <c r="C4" t="s">
        <v>42</v>
      </c>
      <c r="D4" t="s">
        <v>43</v>
      </c>
    </row>
    <row r="5" spans="1:4" x14ac:dyDescent="0.45">
      <c r="A5" t="s">
        <v>44</v>
      </c>
      <c r="B5" s="10">
        <f>(B2+B3)/(B2+B3+B4)</f>
        <v>0.36201603544677707</v>
      </c>
      <c r="C5" t="s">
        <v>45</v>
      </c>
      <c r="D5" t="s">
        <v>46</v>
      </c>
    </row>
    <row r="6" spans="1:4" x14ac:dyDescent="0.45">
      <c r="A6" t="s">
        <v>47</v>
      </c>
      <c r="B6">
        <v>5</v>
      </c>
      <c r="C6" t="s">
        <v>48</v>
      </c>
      <c r="D6" t="s">
        <v>49</v>
      </c>
    </row>
    <row r="7" spans="1:4" x14ac:dyDescent="0.45">
      <c r="A7" t="s">
        <v>50</v>
      </c>
      <c r="B7">
        <v>0.5</v>
      </c>
      <c r="C7" t="s">
        <v>51</v>
      </c>
      <c r="D7" t="s">
        <v>49</v>
      </c>
    </row>
    <row r="8" spans="1:4" x14ac:dyDescent="0.45">
      <c r="A8" t="s">
        <v>52</v>
      </c>
      <c r="B8">
        <v>0.05</v>
      </c>
      <c r="C8" t="s">
        <v>53</v>
      </c>
      <c r="D8" t="s">
        <v>54</v>
      </c>
    </row>
    <row r="9" spans="1:4" x14ac:dyDescent="0.45">
      <c r="A9" t="s">
        <v>55</v>
      </c>
      <c r="B9">
        <v>0.22</v>
      </c>
      <c r="C9" t="s">
        <v>56</v>
      </c>
      <c r="D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Haircut</vt:lpstr>
      <vt:lpstr>Macro</vt:lpstr>
      <vt:lpstr>Scenario 1</vt:lpstr>
      <vt:lpstr>Scenario 2</vt:lpstr>
      <vt:lpstr>Scenario 3</vt:lpstr>
      <vt:lpstr>Presentation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Pardede</dc:creator>
  <cp:lastModifiedBy>Muhamad Haikal</cp:lastModifiedBy>
  <dcterms:created xsi:type="dcterms:W3CDTF">2024-09-22T15:15:38Z</dcterms:created>
  <dcterms:modified xsi:type="dcterms:W3CDTF">2026-10-10T13:48:01Z</dcterms:modified>
</cp:coreProperties>
</file>